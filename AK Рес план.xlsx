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с.план" sheetId="1" r:id="rId5"/>
  </sheets>
  <definedNames>
    <definedName localSheetId="0" name="Month">'Рес.план'!$L$1</definedName>
    <definedName hidden="1" localSheetId="0" name="_xlnm._FilterDatabase">'Рес.план'!$A$2:$AK$225</definedName>
    <definedName hidden="1" localSheetId="0" name="Z_3CF7B6CF_8D23_44AA_8268_63750711F116_.wvu.FilterData">'Рес.план'!$A$2:$BO$11</definedName>
    <definedName hidden="1" localSheetId="0" name="Z_5E5C8DF7_1C7A_4F56_9915_0EE93D33F415_.wvu.FilterData">'Рес.план'!$A$2:$AL$906</definedName>
    <definedName hidden="1" localSheetId="0" name="Z_28D70717_BD2C_4F67_9A3F_586A85D04F67_.wvu.FilterData">'Рес.план'!$A$2:$BJ$906</definedName>
    <definedName hidden="1" localSheetId="0" name="Z_0A1E9C92_233C_4240_B7E9_A381BA49D583_.wvu.FilterData">'Рес.план'!$A$2:$BO$906</definedName>
    <definedName hidden="1" localSheetId="0" name="Z_809E6037_70CD_4EDD_9208_84A1F1C9C004_.wvu.FilterData">'Рес.план'!$A$2:$AL$906</definedName>
    <definedName hidden="1" localSheetId="0" name="Z_6CA5BFA6_BCBA_45D1_9206_FA9E4DBDD9FC_.wvu.FilterData">'Рес.план'!$A$1:$AL$906</definedName>
    <definedName hidden="1" localSheetId="0" name="Z_5FE5029F_4266_4AC1_829D_03FB18CE7B5C_.wvu.FilterData">'Рес.план'!$A$2:$M$6</definedName>
    <definedName hidden="1" localSheetId="0" name="Z_ECC265E4_C42D_4744_8BF1_FF38EFB9B6D2_.wvu.FilterData">'Рес.план'!$A$2:$M$906</definedName>
    <definedName hidden="1" localSheetId="0" name="Z_83AE453F_8C8D_4CEB_846B_214669E7E8EF_.wvu.FilterData">'Рес.план'!$A$2:$AK$1905</definedName>
    <definedName hidden="1" localSheetId="0" name="Z_080F875B_B00D_4FB0_8911_7B4DC3A30C0A_.wvu.FilterData">'Рес.план'!$A$2:$BO$37</definedName>
    <definedName hidden="1" localSheetId="0" name="Z_725E4D07_AAEC_4260_A06F_66BD70146D23_.wvu.FilterData">'Рес.план'!$A$2:$BJ$469</definedName>
    <definedName hidden="1" localSheetId="0" name="Z_2412C4E0_9ECE_4AC2_ADF6_1E158D88F66D_.wvu.FilterData">'Рес.план'!$A$2:$AL$906</definedName>
    <definedName hidden="1" localSheetId="0" name="Z_0E2B4B3B_0300_434C_8F82_1CBAC14C371A_.wvu.FilterData">'Рес.план'!$A$2:$AL$906</definedName>
    <definedName hidden="1" localSheetId="0" name="Z_3A22173A_D826_4FDD_953A_55AC7F3B4CD1_.wvu.FilterData">'Рес.план'!$A$2:$AL$1905</definedName>
    <definedName hidden="1" localSheetId="0" name="Z_4A9CE8FF_DB98_49F4_A177_0EFA269E5EC3_.wvu.FilterData">'Рес.план'!$A$2:$BO$217</definedName>
    <definedName hidden="1" localSheetId="0" name="Z_CA09D921_DC69_4B95_BF9A_4F27A392B3DC_.wvu.FilterData">'Рес.план'!$A$2:$AL$929</definedName>
    <definedName hidden="1" localSheetId="0" name="Z_B3776029_3933_4227_9C0C_5A3D49F2DF20_.wvu.FilterData">'Рес.план'!$A$2:$BO$160</definedName>
    <definedName hidden="1" localSheetId="0" name="Z_82A32229_162D_48EB_9E6A_52E2EE8902D3_.wvu.FilterData">'Рес.план'!$A$1:$AL$906</definedName>
    <definedName hidden="1" localSheetId="0" name="Z_016D974A_0AF3_4C79_8DEB_8B623807632B_.wvu.FilterData">'Рес.план'!$A$2:$AL$906</definedName>
    <definedName hidden="1" localSheetId="0" name="Z_ED0411E1_6F91_40B5_BA40_EB1A435AC3AB_.wvu.FilterData">'Рес.план'!$A$1:$AL$906</definedName>
    <definedName hidden="1" localSheetId="0" name="Z_8B20C21B_F142_42CC_8B8B_457CC21F46AF_.wvu.FilterData">'Рес.план'!$A$2:$AL$906</definedName>
    <definedName hidden="1" localSheetId="0" name="Z_CD272C42_F380_4D5C_8F53_E28AECC6B90C_.wvu.FilterData">'Рес.план'!$A$1:$AL$906</definedName>
    <definedName hidden="1" localSheetId="0" name="Z_6C8E1AB9_6D98_40BB_9A87_7B796B712DED_.wvu.FilterData">'Рес.план'!$A$2:$BO$906</definedName>
    <definedName hidden="1" localSheetId="0" name="Z_7AC0AF99_CF1F_4746_9EAD_C450C4A485BB_.wvu.FilterData">'Рес.план'!$A$2:$AL$220</definedName>
  </definedNames>
  <calcPr/>
  <customWorkbookViews>
    <customWorkbookView activeSheetId="0" maximized="1" windowHeight="0" windowWidth="0" guid="{ED0411E1-6F91-40B5-BA40-EB1A435AC3AB}" name="NP"/>
    <customWorkbookView activeSheetId="0" maximized="1" windowHeight="0" windowWidth="0" guid="{7AC0AF99-CF1F-4746-9EAD-C450C4A485BB}" name="VIV"/>
    <customWorkbookView activeSheetId="0" maximized="1" windowHeight="0" windowWidth="0" guid="{4A9CE8FF-DB98-49F4-A177-0EFA269E5EC3}" name="АГ"/>
    <customWorkbookView activeSheetId="0" maximized="1" windowHeight="0" windowWidth="0" guid="{3A22173A-D826-4FDD-953A-55AC7F3B4CD1}" name="Даша П"/>
    <customWorkbookView activeSheetId="0" maximized="1" windowHeight="0" windowWidth="0" guid="{CA09D921-DC69-4B95-BF9A-4F27A392B3DC}" name="Ушков"/>
    <customWorkbookView activeSheetId="0" maximized="1" windowHeight="0" windowWidth="0" guid="{0E2B4B3B-0300-434C-8F82-1CBAC14C371A}" name="АЗ"/>
    <customWorkbookView activeSheetId="0" maximized="1" windowHeight="0" windowWidth="0" guid="{82A32229-162D-48EB-9E6A-52E2EE8902D3}" name="АК"/>
    <customWorkbookView activeSheetId="0" maximized="1" windowHeight="0" windowWidth="0" guid="{6C8E1AB9-6D98-40BB-9A87-7B796B712DED}" name="SA"/>
    <customWorkbookView activeSheetId="0" maximized="1" windowHeight="0" windowWidth="0" guid="{080F875B-B00D-4FB0-8911-7B4DC3A30C0A}" name="Болотова А."/>
    <customWorkbookView activeSheetId="0" maximized="1" windowHeight="0" windowWidth="0" guid="{28D70717-BD2C-4F67-9A3F-586A85D04F67}" name="Чернышков"/>
    <customWorkbookView activeSheetId="0" maximized="1" windowHeight="0" windowWidth="0" guid="{5FE5029F-4266-4AC1-829D-03FB18CE7B5C}" name="АЧ"/>
    <customWorkbookView activeSheetId="0" maximized="1" windowHeight="0" windowWidth="0" guid="{809E6037-70CD-4EDD-9208-84A1F1C9C004}" name="VIKSA"/>
    <customWorkbookView activeSheetId="0" maximized="1" windowHeight="0" windowWidth="0" guid="{2412C4E0-9ECE-4AC2-ADF6-1E158D88F66D}" name="ViP"/>
    <customWorkbookView activeSheetId="0" maximized="1" windowHeight="0" windowWidth="0" guid="{6CA5BFA6-BCBA-45D1-9206-FA9E4DBDD9FC}" name="ЛК"/>
    <customWorkbookView activeSheetId="0" maximized="1" windowHeight="0" windowWidth="0" guid="{CD272C42-F380-4D5C-8F53-E28AECC6B90C}" name="Саша Д."/>
    <customWorkbookView activeSheetId="0" maximized="1" windowHeight="0" windowWidth="0" guid="{0A1E9C92-233C-4240-B7E9-A381BA49D583}" name="SA1"/>
    <customWorkbookView activeSheetId="0" maximized="1" windowHeight="0" windowWidth="0" guid="{8B20C21B-F142-42CC-8B8B-457CC21F46AF}" name="Гусев"/>
    <customWorkbookView activeSheetId="0" maximized="1" windowHeight="0" windowWidth="0" guid="{5E5C8DF7-1C7A-4F56-9915-0EE93D33F415}" name="Катя Х"/>
    <customWorkbookView activeSheetId="0" maximized="1" windowHeight="0" windowWidth="0" guid="{ECC265E4-C42D-4744-8BF1-FF38EFB9B6D2}" name="Budarina"/>
    <customWorkbookView activeSheetId="0" maximized="1" windowHeight="0" windowWidth="0" guid="{83AE453F-8C8D-4CEB-846B-214669E7E8EF}" name="Дворянкин"/>
    <customWorkbookView activeSheetId="0" maximized="1" windowHeight="0" windowWidth="0" guid="{725E4D07-AAEC-4260-A06F-66BD70146D23}" name="ТБ"/>
    <customWorkbookView activeSheetId="0" maximized="1" windowHeight="0" windowWidth="0" guid="{B3776029-3933-4227-9C0C-5A3D49F2DF20}" name="EY"/>
    <customWorkbookView activeSheetId="0" maximized="1" windowHeight="0" windowWidth="0" guid="{016D974A-0AF3-4C79-8DEB-8B623807632B}" name="RK"/>
    <customWorkbookView activeSheetId="0" maximized="1" windowHeight="0" windowWidth="0" guid="{3CF7B6CF-8D23-44AA-8268-63750711F116}" name="Влад Пичугин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заменить руками</t>
      </text>
    </comment>
  </commentList>
</comments>
</file>

<file path=xl/sharedStrings.xml><?xml version="1.0" encoding="utf-8"?>
<sst xmlns="http://schemas.openxmlformats.org/spreadsheetml/2006/main" count="2239" uniqueCount="317">
  <si>
    <t>Новые строки не вставлять. Вписывать в свободную строку снизу и ее перетаскивать при необходимости.</t>
  </si>
  <si>
    <t>max мес.факт&gt;</t>
  </si>
  <si>
    <t>Год:</t>
  </si>
  <si>
    <t>&lt;&lt;Рабочих дней</t>
  </si>
  <si>
    <t>A/D</t>
  </si>
  <si>
    <t>Роль</t>
  </si>
  <si>
    <t>Пул</t>
  </si>
  <si>
    <t>Тип</t>
  </si>
  <si>
    <t>Ответственный</t>
  </si>
  <si>
    <t>Верх.стрим</t>
  </si>
  <si>
    <t>Стрим</t>
  </si>
  <si>
    <t>Задача</t>
  </si>
  <si>
    <t>PM</t>
  </si>
  <si>
    <t>Сотрудник</t>
  </si>
  <si>
    <t>in?</t>
  </si>
  <si>
    <t>Sum</t>
  </si>
  <si>
    <t>D</t>
  </si>
  <si>
    <t>SD ACRM</t>
  </si>
  <si>
    <t>ПП</t>
  </si>
  <si>
    <t>fix</t>
  </si>
  <si>
    <t>ACRM</t>
  </si>
  <si>
    <t>ACRM FIX</t>
  </si>
  <si>
    <t>ACRM FIX (Борисевич)</t>
  </si>
  <si>
    <t>Яковлева Елена</t>
  </si>
  <si>
    <t>Алексеев Георгий</t>
  </si>
  <si>
    <t>ACRM Support</t>
  </si>
  <si>
    <t>ACRM Support (Борисевич)</t>
  </si>
  <si>
    <t>A</t>
  </si>
  <si>
    <t>STL</t>
  </si>
  <si>
    <t>t&amp;m</t>
  </si>
  <si>
    <t>Жигалова</t>
  </si>
  <si>
    <t>Жигалова T&amp;M</t>
  </si>
  <si>
    <t>Тригкред (Жигалова)</t>
  </si>
  <si>
    <t>Ярошевич Анжела</t>
  </si>
  <si>
    <t>Альмухаметова Татьяна</t>
  </si>
  <si>
    <t>AN5</t>
  </si>
  <si>
    <t>Горшенина+Яковлева</t>
  </si>
  <si>
    <t>Горшенина+Яковлева FIX</t>
  </si>
  <si>
    <t>ЕИС FIX (Горшенина)</t>
  </si>
  <si>
    <t>Бакулевская Алина</t>
  </si>
  <si>
    <t>Анисимов Николай</t>
  </si>
  <si>
    <t>jAn ACRM ACRM</t>
  </si>
  <si>
    <t>ACRM Импортозамещение</t>
  </si>
  <si>
    <t>ACRM Импортозамещение (Борисевич)</t>
  </si>
  <si>
    <t>Баранова Анастасия</t>
  </si>
  <si>
    <t>STL2</t>
  </si>
  <si>
    <t>Забияка</t>
  </si>
  <si>
    <t>Забияка T&amp;M</t>
  </si>
  <si>
    <t>Управленческая отчетность сети РБ\ЗП (Забияка)</t>
  </si>
  <si>
    <t>Болотова Алина</t>
  </si>
  <si>
    <t>Мотивация сети РБ\ЗП (Забияка)</t>
  </si>
  <si>
    <t>Ефименко Алёна</t>
  </si>
  <si>
    <t>Болдин-Илюхин Иван</t>
  </si>
  <si>
    <t>SD</t>
  </si>
  <si>
    <t>Дворников</t>
  </si>
  <si>
    <t>Дворников FIX</t>
  </si>
  <si>
    <t>Миграция DWH на GP+Airflow FIX (Дворников)</t>
  </si>
  <si>
    <t>Клименко Алексей</t>
  </si>
  <si>
    <t>Куликовский Олег</t>
  </si>
  <si>
    <t>Пичугин Владислав</t>
  </si>
  <si>
    <t>An</t>
  </si>
  <si>
    <t>Шахов</t>
  </si>
  <si>
    <t>Шахов T&amp;M</t>
  </si>
  <si>
    <t>PUMA (Шахов)</t>
  </si>
  <si>
    <t>PUMA (Каменецких)</t>
  </si>
  <si>
    <t>Иванюк Полина</t>
  </si>
  <si>
    <t>Бутков Евгений</t>
  </si>
  <si>
    <t>STL3</t>
  </si>
  <si>
    <t>Маточкин</t>
  </si>
  <si>
    <t>Маточкин T&amp;M</t>
  </si>
  <si>
    <t>Отчетность СБ (Маточкин)</t>
  </si>
  <si>
    <t>Максимова Анастасия</t>
  </si>
  <si>
    <t>Плахов Игорь</t>
  </si>
  <si>
    <t>SAn</t>
  </si>
  <si>
    <t>Тимофейчик Роман</t>
  </si>
  <si>
    <t>Arch ACRM</t>
  </si>
  <si>
    <t>Морозов Дмитрий</t>
  </si>
  <si>
    <t>Никитин Владимир</t>
  </si>
  <si>
    <t>TL3</t>
  </si>
  <si>
    <t>Жалненков</t>
  </si>
  <si>
    <t>Жалненков T&amp;M</t>
  </si>
  <si>
    <t>DMDC (Жалненков)</t>
  </si>
  <si>
    <t>Веденичев Игорь</t>
  </si>
  <si>
    <t>Матвейкина</t>
  </si>
  <si>
    <t>Матвейкина T&amp;M</t>
  </si>
  <si>
    <t>АСУ Налоги (Матвейкина)</t>
  </si>
  <si>
    <t>АСУ Налоги</t>
  </si>
  <si>
    <t>jD ACRM</t>
  </si>
  <si>
    <t>Рогов Юрий</t>
  </si>
  <si>
    <t>jAn1</t>
  </si>
  <si>
    <t>Шергунов</t>
  </si>
  <si>
    <t>Шергунов T&amp;M</t>
  </si>
  <si>
    <t>Доработки ALM (Трифонова)</t>
  </si>
  <si>
    <t>Великоборец Мария</t>
  </si>
  <si>
    <t>Горшенина+Яковлева агрегатор (FIX)</t>
  </si>
  <si>
    <t>Волков Никита</t>
  </si>
  <si>
    <t>Герасимов</t>
  </si>
  <si>
    <t>Герасимов T&amp;M</t>
  </si>
  <si>
    <t>Mass Управленческая отчетность (Герасимов)</t>
  </si>
  <si>
    <t>Пронин Владимир</t>
  </si>
  <si>
    <t>Гринченко Елена</t>
  </si>
  <si>
    <t>STL (new)</t>
  </si>
  <si>
    <t>Романовская Жанна</t>
  </si>
  <si>
    <t>STL5</t>
  </si>
  <si>
    <t>Ушков Иван</t>
  </si>
  <si>
    <t>SAN</t>
  </si>
  <si>
    <t>Ускорение отчетности (Забияка)</t>
  </si>
  <si>
    <t>Волченков Виталий</t>
  </si>
  <si>
    <t>MAn2</t>
  </si>
  <si>
    <t>Аронова</t>
  </si>
  <si>
    <t>Аронова FIX</t>
  </si>
  <si>
    <t>Миграция RWA FIX (Аронова)</t>
  </si>
  <si>
    <t>Габдуллин Адель</t>
  </si>
  <si>
    <t>Овсянников</t>
  </si>
  <si>
    <t>Овсянников T&amp;M</t>
  </si>
  <si>
    <t>Финансы (Овсянников)</t>
  </si>
  <si>
    <t>Гиряев Антон</t>
  </si>
  <si>
    <t>SAn ACRM</t>
  </si>
  <si>
    <t>ACRM T&amp;M</t>
  </si>
  <si>
    <t>ACRM Задачи T&amp;M (Борисевич)</t>
  </si>
  <si>
    <t>Цуба Виктория</t>
  </si>
  <si>
    <t>AN ACRM</t>
  </si>
  <si>
    <t>Часовская Алина</t>
  </si>
  <si>
    <t>Indiv AN</t>
  </si>
  <si>
    <t>РКТ (Иванова)</t>
  </si>
  <si>
    <t>Гродзь Анастасия</t>
  </si>
  <si>
    <t>Мельник</t>
  </si>
  <si>
    <t>Мельник T&amp;M</t>
  </si>
  <si>
    <t>VoC T&amp;M (Мельник)</t>
  </si>
  <si>
    <t>Гусева Жанна</t>
  </si>
  <si>
    <t>Даровская Анастасия</t>
  </si>
  <si>
    <t>Молоденов Константин</t>
  </si>
  <si>
    <t>Алексеев Андрей</t>
  </si>
  <si>
    <t>BI</t>
  </si>
  <si>
    <t>MD</t>
  </si>
  <si>
    <t>Сорокина Дания</t>
  </si>
  <si>
    <t>Дворянкин Евгений</t>
  </si>
  <si>
    <t>Гарьковенко</t>
  </si>
  <si>
    <t>Гарьковенко T&amp;M</t>
  </si>
  <si>
    <t>КИБ (BI) (Гарьковенко)</t>
  </si>
  <si>
    <t>КИБ (BI) (Герасимов)</t>
  </si>
  <si>
    <t>MAn</t>
  </si>
  <si>
    <t>Локтионова Екатерина</t>
  </si>
  <si>
    <t>AN2</t>
  </si>
  <si>
    <t>Мотивация Mass (Герасимов)</t>
  </si>
  <si>
    <t>Козлова Анастасия</t>
  </si>
  <si>
    <t>Премиум (Забияка)</t>
  </si>
  <si>
    <t>77.Премиум (Забияка)</t>
  </si>
  <si>
    <t>AN2 ACRM ACRM</t>
  </si>
  <si>
    <t>Жакупов Марат</t>
  </si>
  <si>
    <t>DNK</t>
  </si>
  <si>
    <t>Фатьков</t>
  </si>
  <si>
    <t>Фатьков T&amp;M</t>
  </si>
  <si>
    <t>ППП (Фатьков)</t>
  </si>
  <si>
    <t>ППП (Мельник)</t>
  </si>
  <si>
    <t>Афанасьев Иван</t>
  </si>
  <si>
    <t>DIV</t>
  </si>
  <si>
    <t>Козлов Данила</t>
  </si>
  <si>
    <t>Гринев Тимофей</t>
  </si>
  <si>
    <t>AN</t>
  </si>
  <si>
    <t>Васильев Феодосий</t>
  </si>
  <si>
    <t>Тоцкий</t>
  </si>
  <si>
    <t>Тоцкий T&amp;M</t>
  </si>
  <si>
    <t>Миграция Hadoop (Тоцкий)</t>
  </si>
  <si>
    <t>Миграция Hadoop</t>
  </si>
  <si>
    <t>Зобов Никита</t>
  </si>
  <si>
    <t>MAn ACRM</t>
  </si>
  <si>
    <t>Палатова Татьяна</t>
  </si>
  <si>
    <t>СТЦ (Терентьев)</t>
  </si>
  <si>
    <t>Камышанов Денис</t>
  </si>
  <si>
    <t>Секьюритизация РБ (Забияка)</t>
  </si>
  <si>
    <t>Зык Любовь</t>
  </si>
  <si>
    <t>Зыкова Дарья</t>
  </si>
  <si>
    <t>TL2</t>
  </si>
  <si>
    <t>Крашенинников Артем</t>
  </si>
  <si>
    <t>Иванова Аделина</t>
  </si>
  <si>
    <t>Ипотека (Забияка)</t>
  </si>
  <si>
    <t>Исламов Рашид</t>
  </si>
  <si>
    <t>MD2</t>
  </si>
  <si>
    <t>Каленик Елена</t>
  </si>
  <si>
    <t>jAn</t>
  </si>
  <si>
    <t>Алёшин Семён</t>
  </si>
  <si>
    <t>Аникушина Валерия</t>
  </si>
  <si>
    <t>Касперович Данил</t>
  </si>
  <si>
    <t>jD</t>
  </si>
  <si>
    <t>Жовтяк Ярослав</t>
  </si>
  <si>
    <t>Ковалева Эвелина</t>
  </si>
  <si>
    <t>SAN5</t>
  </si>
  <si>
    <t>Коломиец Сергей</t>
  </si>
  <si>
    <t>Инвестиции (Забияка)</t>
  </si>
  <si>
    <t>Кондратьева Александра</t>
  </si>
  <si>
    <t>Беднова</t>
  </si>
  <si>
    <t>Беднова FIX</t>
  </si>
  <si>
    <t>FIX Маскирование (Беднова)</t>
  </si>
  <si>
    <t>Смехнов Ярослав</t>
  </si>
  <si>
    <t>Петров Илья</t>
  </si>
  <si>
    <t>Кузьмин Руслан</t>
  </si>
  <si>
    <t>Ловягина Ирина</t>
  </si>
  <si>
    <t>Кошелева Вера</t>
  </si>
  <si>
    <t>Анисимова Дарья</t>
  </si>
  <si>
    <t>Лешкевич Александра</t>
  </si>
  <si>
    <t>STL1</t>
  </si>
  <si>
    <t>Разработка NRT для РБ (Забияка)</t>
  </si>
  <si>
    <t>Кравченя Юлия</t>
  </si>
  <si>
    <t>jAn ACRM</t>
  </si>
  <si>
    <t>Шульган Данил</t>
  </si>
  <si>
    <t>jAn2</t>
  </si>
  <si>
    <t>Круглов Артём</t>
  </si>
  <si>
    <t>MD3 ACRM</t>
  </si>
  <si>
    <t>Ципко Алина</t>
  </si>
  <si>
    <t>jAn2 ACRM</t>
  </si>
  <si>
    <t>AN3</t>
  </si>
  <si>
    <t>Кузнецов Александр</t>
  </si>
  <si>
    <t>Усова Анастасия</t>
  </si>
  <si>
    <t>Куликов Михаил</t>
  </si>
  <si>
    <t>Захаренков Владислав</t>
  </si>
  <si>
    <t>TL</t>
  </si>
  <si>
    <t>Рыбченко</t>
  </si>
  <si>
    <t>Рыбченко T&amp;M</t>
  </si>
  <si>
    <t>Голограмма (Рыбченко)</t>
  </si>
  <si>
    <t>Голограмма (Мельник)</t>
  </si>
  <si>
    <t>Сакульская Валерия</t>
  </si>
  <si>
    <t>Соловьева Ирина</t>
  </si>
  <si>
    <t>An front</t>
  </si>
  <si>
    <t>Савельев Иван</t>
  </si>
  <si>
    <t>Шипарев Георгий</t>
  </si>
  <si>
    <t>Миронов</t>
  </si>
  <si>
    <t>Миронов T&amp;M</t>
  </si>
  <si>
    <t>Качество данных (DQ): T&amp;M (Миронов)</t>
  </si>
  <si>
    <t>PM0</t>
  </si>
  <si>
    <t>Лолаев Георгий</t>
  </si>
  <si>
    <t>SAN3</t>
  </si>
  <si>
    <t>ЕИС Метаданные (Жалненков)</t>
  </si>
  <si>
    <t>Хамидов Дамир</t>
  </si>
  <si>
    <t>Касаткин Михаил</t>
  </si>
  <si>
    <t>Big Data Platform (Тоцкий)</t>
  </si>
  <si>
    <t>Big Data Platform</t>
  </si>
  <si>
    <t>Курненков Артём</t>
  </si>
  <si>
    <t>Лавриненко Мария</t>
  </si>
  <si>
    <t>An (new)</t>
  </si>
  <si>
    <t>Лазаренков Никита</t>
  </si>
  <si>
    <t>Общерозничные задачи (Забияка)</t>
  </si>
  <si>
    <t>Клинков Сергей</t>
  </si>
  <si>
    <t>Неведомая Евгения</t>
  </si>
  <si>
    <t>DL (Шахов)</t>
  </si>
  <si>
    <t>Мамедов Владислав</t>
  </si>
  <si>
    <t>Ильина Вера</t>
  </si>
  <si>
    <t>Arch</t>
  </si>
  <si>
    <t>КИБ</t>
  </si>
  <si>
    <t>Сопровождение CSDL (КИБ)</t>
  </si>
  <si>
    <t>CSDL Сопровождение 2025</t>
  </si>
  <si>
    <t>STL ACRM</t>
  </si>
  <si>
    <t>Ткач Галина</t>
  </si>
  <si>
    <t>STL3 ACRM</t>
  </si>
  <si>
    <t>Прохорова Дарья</t>
  </si>
  <si>
    <t>Рыбаков Станислав</t>
  </si>
  <si>
    <t>Сафронова Кристина</t>
  </si>
  <si>
    <t>-</t>
  </si>
  <si>
    <t>Сергиенко Алексей</t>
  </si>
  <si>
    <t>TL ACRM</t>
  </si>
  <si>
    <t>ACRM Сопровождение потоков ODH</t>
  </si>
  <si>
    <t>Сопровождение потоков ODH</t>
  </si>
  <si>
    <t>Масленкина Анастасия</t>
  </si>
  <si>
    <t>Миркискина Александра</t>
  </si>
  <si>
    <t>УФБА (Шергунов)</t>
  </si>
  <si>
    <t>Нет A</t>
  </si>
  <si>
    <t>Нет D</t>
  </si>
  <si>
    <t>Панкратов Тихон</t>
  </si>
  <si>
    <t>Заболоцкий</t>
  </si>
  <si>
    <t>Заболоцкий FIX</t>
  </si>
  <si>
    <t>Заболоцкий (FIX)</t>
  </si>
  <si>
    <t>Наклескин Никита</t>
  </si>
  <si>
    <t>SAN4</t>
  </si>
  <si>
    <t>Аронова T&amp;M</t>
  </si>
  <si>
    <t>ЕИС T&amp;M (Аронова)</t>
  </si>
  <si>
    <t>Бельтиков Адьян</t>
  </si>
  <si>
    <t>Цой Екатерина</t>
  </si>
  <si>
    <t>Самозанятые (Забияка)</t>
  </si>
  <si>
    <t>170.Самозанятые (Забияка)</t>
  </si>
  <si>
    <t>Панова Анастасия</t>
  </si>
  <si>
    <t>STL6</t>
  </si>
  <si>
    <t>Миграция RWA T&amp;M (Аронова)</t>
  </si>
  <si>
    <t>Сазонова Виктория</t>
  </si>
  <si>
    <t>Проектное финансирование (КИБ)</t>
  </si>
  <si>
    <t>Патик Елена</t>
  </si>
  <si>
    <t>Перелыгина Александра</t>
  </si>
  <si>
    <t>Пискарев Максим</t>
  </si>
  <si>
    <t>Отчет по маржинальности (Шергунов)</t>
  </si>
  <si>
    <t>Савина Наталья</t>
  </si>
  <si>
    <t>Соболев Иван</t>
  </si>
  <si>
    <t>Топалян Артём</t>
  </si>
  <si>
    <t>Украинцев Максим</t>
  </si>
  <si>
    <t>Татаева Мария</t>
  </si>
  <si>
    <t>Черкашина Анна</t>
  </si>
  <si>
    <t>jAn0</t>
  </si>
  <si>
    <t>Третьякова</t>
  </si>
  <si>
    <t>Третьякова T&amp;M</t>
  </si>
  <si>
    <t>БКИ T&amp;M (Третьякова)</t>
  </si>
  <si>
    <t>Филатов Кирилл</t>
  </si>
  <si>
    <t>Филиппов Алексей</t>
  </si>
  <si>
    <t>Филиппова Анастасия</t>
  </si>
  <si>
    <t>Фрид Зинаида</t>
  </si>
  <si>
    <t>Хоменко Оксана</t>
  </si>
  <si>
    <t>Храмович Инна</t>
  </si>
  <si>
    <t>Пожидаев</t>
  </si>
  <si>
    <t>Пожидаев T&amp;M</t>
  </si>
  <si>
    <t>DG (Пожидаев)</t>
  </si>
  <si>
    <t>Цыбров Кирилл</t>
  </si>
  <si>
    <t>TL2 ACRM ACRM</t>
  </si>
  <si>
    <t>Черепанов Захар</t>
  </si>
  <si>
    <t>FIX T&amp;M (Овсянников)</t>
  </si>
  <si>
    <t>STL7</t>
  </si>
  <si>
    <t>Гусев Артем</t>
  </si>
  <si>
    <t>Романова Екатерина</t>
  </si>
  <si>
    <t>Сапко Анастасия</t>
  </si>
  <si>
    <t>Чурсин Михаил</t>
  </si>
  <si>
    <t>Микрюкова Полина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</si>
</sst>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.&quot;yy"/>
  </numFmts>
  <fonts count="14">
    <font>
      <sz val="10.0"/>
      <color rgb="FF000000"/>
      <name val="Arial"/>
      <scheme val="minor"/>
    </font>
    <font>
      <b/>
      <sz val="10.0"/>
      <color rgb="FFFF0000"/>
      <name val="Arial"/>
    </font>
    <font>
      <b/>
      <i/>
      <sz val="10.0"/>
      <color rgb="FF1C4587"/>
      <name val="Arial"/>
    </font>
    <font>
      <b/>
      <sz val="10.0"/>
      <color rgb="FF000000"/>
      <name val="Arial"/>
    </font>
    <font>
      <b/>
      <i/>
      <sz val="10.0"/>
      <color rgb="FFCC0000"/>
      <name val="Arial"/>
    </font>
    <font>
      <b/>
      <i/>
      <sz val="10.0"/>
      <color rgb="FF000000"/>
      <name val="Arial"/>
    </font>
    <font>
      <sz val="10.0"/>
      <color rgb="FF000000"/>
      <name val="Arial"/>
    </font>
    <font>
      <b/>
      <sz val="10.0"/>
      <color rgb="FFFF9900"/>
      <name val="Arial"/>
    </font>
    <font>
      <b/>
      <color theme="1"/>
      <name val="Arial"/>
    </font>
    <font>
      <b/>
      <sz val="10.0"/>
      <color rgb="FF1C4587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99B"/>
        <bgColor rgb="FFF4C99B"/>
      </patternFill>
    </fill>
    <fill>
      <patternFill patternType="solid">
        <fgColor rgb="FFF5BE83"/>
        <bgColor rgb="FFF5BE83"/>
      </patternFill>
    </fill>
    <fill>
      <patternFill patternType="solid">
        <fgColor rgb="FFF5B877"/>
        <bgColor rgb="FFF5B877"/>
      </patternFill>
    </fill>
    <fill>
      <patternFill patternType="solid">
        <fgColor rgb="FFFF0000"/>
        <bgColor rgb="FFFF0000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ill="1" applyFont="1">
      <alignment horizontal="left" readingOrder="0" shrinkToFit="0" vertical="center" wrapText="0"/>
    </xf>
    <xf borderId="3" fillId="4" fontId="4" numFmtId="164" xfId="0" applyAlignment="1" applyBorder="1" applyFill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3" fillId="3" fontId="3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3" fillId="5" fontId="8" numFmtId="164" xfId="0" applyAlignment="1" applyBorder="1" applyFill="1" applyFont="1" applyNumberFormat="1">
      <alignment horizontal="left" readingOrder="0" vertical="center"/>
    </xf>
    <xf borderId="3" fillId="0" fontId="9" numFmtId="0" xfId="0" applyAlignment="1" applyBorder="1" applyFont="1">
      <alignment horizontal="left" readingOrder="0" shrinkToFit="0" vertical="center" wrapText="0"/>
    </xf>
    <xf borderId="3" fillId="6" fontId="6" numFmtId="0" xfId="0" applyAlignment="1" applyBorder="1" applyFill="1" applyFont="1">
      <alignment horizontal="left" readingOrder="0" shrinkToFit="0" vertical="center" wrapText="0"/>
    </xf>
    <xf borderId="3" fillId="6" fontId="6" numFmtId="0" xfId="0" applyAlignment="1" applyBorder="1" applyFont="1">
      <alignment horizontal="left" readingOrder="0" vertical="center"/>
    </xf>
    <xf borderId="3" fillId="7" fontId="6" numFmtId="0" xfId="0" applyAlignment="1" applyBorder="1" applyFill="1" applyFont="1">
      <alignment horizontal="left" readingOrder="0" shrinkToFit="0" vertical="center" wrapText="0"/>
    </xf>
    <xf borderId="3" fillId="6" fontId="10" numFmtId="0" xfId="0" applyAlignment="1" applyBorder="1" applyFont="1">
      <alignment horizontal="left" readingOrder="0" vertical="center"/>
    </xf>
    <xf borderId="3" fillId="7" fontId="6" numFmtId="0" xfId="0" applyAlignment="1" applyBorder="1" applyFont="1">
      <alignment horizontal="left" readingOrder="0" vertical="center"/>
    </xf>
    <xf borderId="3" fillId="8" fontId="3" numFmtId="0" xfId="0" applyAlignment="1" applyBorder="1" applyFill="1" applyFont="1">
      <alignment horizontal="center" readingOrder="0" shrinkToFit="0" vertical="center" wrapText="0"/>
    </xf>
    <xf borderId="3" fillId="6" fontId="6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vertical="center"/>
    </xf>
    <xf borderId="3" fillId="7" fontId="6" numFmtId="0" xfId="0" applyAlignment="1" applyBorder="1" applyFont="1">
      <alignment readingOrder="0" vertical="center"/>
    </xf>
    <xf borderId="3" fillId="7" fontId="6" numFmtId="0" xfId="0" applyAlignment="1" applyBorder="1" applyFont="1">
      <alignment readingOrder="0" shrinkToFit="0" vertical="center" wrapText="0"/>
    </xf>
    <xf borderId="0" fillId="6" fontId="6" numFmtId="0" xfId="0" applyAlignment="1" applyFont="1">
      <alignment horizontal="center" readingOrder="0" vertical="center"/>
    </xf>
    <xf borderId="3" fillId="7" fontId="6" numFmtId="0" xfId="0" applyAlignment="1" applyBorder="1" applyFont="1">
      <alignment shrinkToFit="0" vertical="center" wrapText="0"/>
    </xf>
    <xf borderId="3" fillId="9" fontId="11" numFmtId="0" xfId="0" applyAlignment="1" applyBorder="1" applyFill="1" applyFont="1">
      <alignment horizontal="center"/>
    </xf>
    <xf borderId="3" fillId="10" fontId="11" numFmtId="0" xfId="0" applyAlignment="1" applyBorder="1" applyFill="1" applyFont="1">
      <alignment horizontal="center"/>
    </xf>
    <xf borderId="3" fillId="11" fontId="11" numFmtId="0" xfId="0" applyAlignment="1" applyBorder="1" applyFill="1" applyFont="1">
      <alignment horizontal="center"/>
    </xf>
    <xf borderId="3" fillId="6" fontId="11" numFmtId="0" xfId="0" applyAlignment="1" applyBorder="1" applyFont="1">
      <alignment horizontal="center"/>
    </xf>
    <xf borderId="0" fillId="0" fontId="11" numFmtId="4" xfId="0" applyAlignment="1" applyFont="1" applyNumberFormat="1">
      <alignment horizontal="right" readingOrder="0" shrinkToFit="0" vertical="bottom" wrapText="0"/>
    </xf>
    <xf borderId="0" fillId="2" fontId="12" numFmtId="4" xfId="0" applyAlignment="1" applyFont="1" applyNumberFormat="1">
      <alignment horizontal="right" vertical="bottom"/>
    </xf>
    <xf borderId="0" fillId="2" fontId="12" numFmtId="0" xfId="0" applyAlignment="1" applyFont="1">
      <alignment horizontal="right" vertical="bottom"/>
    </xf>
    <xf borderId="3" fillId="6" fontId="6" numFmtId="0" xfId="0" applyAlignment="1" applyBorder="1" applyFont="1">
      <alignment horizontal="left" vertical="center"/>
    </xf>
    <xf borderId="3" fillId="6" fontId="11" numFmtId="0" xfId="0" applyAlignment="1" applyBorder="1" applyFont="1">
      <alignment readingOrder="0"/>
    </xf>
    <xf borderId="3" fillId="7" fontId="11" numFmtId="0" xfId="0" applyAlignment="1" applyBorder="1" applyFont="1">
      <alignment readingOrder="0" shrinkToFit="0" wrapText="0"/>
    </xf>
    <xf borderId="3" fillId="6" fontId="12" numFmtId="0" xfId="0" applyAlignment="1" applyBorder="1" applyFont="1">
      <alignment readingOrder="0"/>
    </xf>
    <xf borderId="3" fillId="7" fontId="11" numFmtId="0" xfId="0" applyBorder="1" applyFont="1"/>
    <xf borderId="3" fillId="12" fontId="6" numFmtId="0" xfId="0" applyAlignment="1" applyBorder="1" applyFill="1" applyFont="1">
      <alignment horizontal="center" readingOrder="0" vertical="center"/>
    </xf>
    <xf borderId="3" fillId="7" fontId="13" numFmtId="0" xfId="0" applyAlignment="1" applyBorder="1" applyFont="1">
      <alignment readingOrder="0"/>
    </xf>
    <xf borderId="3" fillId="7" fontId="6" numFmtId="0" xfId="0" applyAlignment="1" applyBorder="1" applyFont="1">
      <alignment horizontal="left" shrinkToFit="0" vertical="center" wrapText="0"/>
    </xf>
    <xf borderId="3" fillId="0" fontId="11" numFmtId="0" xfId="0" applyAlignment="1" applyBorder="1" applyFon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right" readingOrder="0" shrinkToFit="0" vertical="bottom" wrapText="0"/>
    </xf>
    <xf borderId="0" fillId="8" fontId="3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vertical="center"/>
    </xf>
    <xf borderId="3" fillId="6" fontId="10" numFmtId="0" xfId="0" applyAlignment="1" applyBorder="1" applyFont="1">
      <alignment horizontal="left" vertical="center"/>
    </xf>
    <xf borderId="3" fillId="7" fontId="6" numFmtId="0" xfId="0" applyAlignment="1" applyBorder="1" applyFont="1">
      <alignment vertical="center"/>
    </xf>
    <xf borderId="0" fillId="7" fontId="6" numFmtId="0" xfId="0" applyAlignment="1" applyFont="1">
      <alignment readingOrder="0" shrinkToFit="0" vertical="center" wrapText="0"/>
    </xf>
    <xf borderId="0" fillId="7" fontId="6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5.88"/>
    <col customWidth="1" hidden="1" min="2" max="2" width="9.63" outlineLevel="1"/>
    <col customWidth="1" hidden="1" min="3" max="3" width="4.5" outlineLevel="1"/>
    <col customWidth="1" hidden="1" min="4" max="4" width="4.75" outlineLevel="1"/>
    <col customWidth="1" hidden="1" min="5" max="5" width="19.5" outlineLevel="1"/>
    <col customWidth="1" hidden="1" min="6" max="6" width="21.0" outlineLevel="1"/>
    <col collapsed="1" customWidth="1" min="7" max="7" width="31.5"/>
    <col customWidth="1" min="8" max="8" width="28.25"/>
    <col customWidth="1" min="9" max="9" width="19.13"/>
    <col customWidth="1" min="10" max="10" width="23.38"/>
    <col customWidth="1" min="11" max="11" width="8.5"/>
    <col customWidth="1" min="12" max="12" width="6.75"/>
    <col customWidth="1" min="13" max="13" width="7.25"/>
    <col customWidth="1" hidden="1" min="14" max="25" width="7.25"/>
    <col customWidth="1" min="26" max="37" width="7.25"/>
    <col customWidth="1" min="38" max="67" width="5.75"/>
  </cols>
  <sheetData>
    <row r="1">
      <c r="A1" s="1"/>
      <c r="B1" s="1"/>
      <c r="C1" s="2"/>
      <c r="D1" s="3"/>
      <c r="E1" s="3"/>
      <c r="F1" s="3"/>
      <c r="G1" s="4" t="s">
        <v>0</v>
      </c>
      <c r="H1" s="3"/>
      <c r="I1" s="3"/>
      <c r="J1" s="5"/>
      <c r="K1" s="6" t="s">
        <v>1</v>
      </c>
      <c r="L1" s="7" t="str">
        <f>IFERROR(__xludf.DUMMYFUNCTION("IMPORTRANGE(""https://docs.google.com/spreadsheets/d/1kEC_HJgReNpnVSEf-kbl8yf-9pL9ditjS0XzOedL4eE/edit?gid=1277221272#gid=1277221272"",""Предагрегат!N4"")"),"#REF!")</f>
        <v>#REF!</v>
      </c>
      <c r="M1" s="8" t="s">
        <v>2</v>
      </c>
      <c r="N1" s="9" t="str">
        <f t="shared" ref="N1:P1" si="1">index('Команда'!U1:CU1,match(N2,'Команда'!U2:CU2,0))</f>
        <v>#REF!</v>
      </c>
      <c r="O1" s="9" t="str">
        <f t="shared" si="1"/>
        <v>#REF!</v>
      </c>
      <c r="P1" s="9" t="str">
        <f t="shared" si="1"/>
        <v>#REF!</v>
      </c>
      <c r="Q1" s="9" t="str">
        <f t="array" ref="Q1">index('Команда'!X1:CW1,match(Q2,'Команда'!X2:CW2,0))</f>
        <v>#REF!</v>
      </c>
      <c r="R1" s="9" t="str">
        <f t="array" ref="R1">index('Команда'!Y1:CW1,match(R2,'Команда'!Y2:CW2,0))</f>
        <v>#REF!</v>
      </c>
      <c r="S1" s="9" t="str">
        <f t="array" ref="S1">index('Команда'!Z1:CW1,match(S2,'Команда'!Z2:CW2,0))</f>
        <v>#REF!</v>
      </c>
      <c r="T1" s="9" t="str">
        <f t="array" ref="T1">index('Команда'!AA1:CW1,match(T2,'Команда'!AA2:CW2,0))</f>
        <v>#REF!</v>
      </c>
      <c r="U1" s="9" t="str">
        <f t="array" ref="U1">index('Команда'!AB1:CW1,match(U2,'Команда'!AB2:CW2,0))</f>
        <v>#REF!</v>
      </c>
      <c r="V1" s="9" t="str">
        <f t="array" ref="V1">index('Команда'!AC1:CW1,match(V2,'Команда'!AC2:CW2,0))</f>
        <v>#REF!</v>
      </c>
      <c r="W1" s="9" t="str">
        <f t="array" ref="W1">index('Команда'!AD1:CW1,match(W2,'Команда'!AD2:CW2,0))</f>
        <v>#REF!</v>
      </c>
      <c r="X1" s="9" t="str">
        <f t="array" ref="X1">index('Команда'!AE1:CW1,match(X2,'Команда'!AE2:CW2,0))</f>
        <v>#REF!</v>
      </c>
      <c r="Y1" s="9" t="str">
        <f t="array" ref="Y1">index('Команда'!AF1:CW1,match(Y2,'Команда'!AF2:CW2,0))</f>
        <v>#REF!</v>
      </c>
      <c r="Z1" s="9">
        <v>15.0</v>
      </c>
      <c r="AA1" s="9">
        <v>19.0</v>
      </c>
      <c r="AB1" s="9">
        <v>21.0</v>
      </c>
      <c r="AC1" s="9">
        <v>22.0</v>
      </c>
      <c r="AD1" s="9">
        <v>19.0</v>
      </c>
      <c r="AE1" s="9">
        <v>21.0</v>
      </c>
      <c r="AF1" s="9">
        <v>23.0</v>
      </c>
      <c r="AG1" s="9">
        <v>21.0</v>
      </c>
      <c r="AH1" s="9">
        <v>22.0</v>
      </c>
      <c r="AI1" s="9">
        <v>22.0</v>
      </c>
      <c r="AJ1" s="9">
        <v>20.0</v>
      </c>
      <c r="AK1" s="9">
        <v>22.0</v>
      </c>
      <c r="AL1" s="2" t="s">
        <v>3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10"/>
      <c r="BL1" s="10"/>
      <c r="BM1" s="10"/>
      <c r="BN1" s="10"/>
      <c r="BO1" s="10"/>
    </row>
    <row r="2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6" t="s">
        <v>14</v>
      </c>
      <c r="L2" s="12" t="s">
        <v>15</v>
      </c>
      <c r="M2" s="13">
        <v>2026.0</v>
      </c>
      <c r="N2" s="14">
        <v>45658.0</v>
      </c>
      <c r="O2" s="14">
        <v>45689.0</v>
      </c>
      <c r="P2" s="14">
        <v>45717.0</v>
      </c>
      <c r="Q2" s="14">
        <v>45748.0</v>
      </c>
      <c r="R2" s="14">
        <v>45778.0</v>
      </c>
      <c r="S2" s="14">
        <v>45809.0</v>
      </c>
      <c r="T2" s="14">
        <v>45839.0</v>
      </c>
      <c r="U2" s="14">
        <v>45870.0</v>
      </c>
      <c r="V2" s="14">
        <v>45901.0</v>
      </c>
      <c r="W2" s="14">
        <v>45931.0</v>
      </c>
      <c r="X2" s="14">
        <v>45962.0</v>
      </c>
      <c r="Y2" s="14">
        <v>45992.0</v>
      </c>
      <c r="Z2" s="14">
        <v>46023.0</v>
      </c>
      <c r="AA2" s="14">
        <v>46054.0</v>
      </c>
      <c r="AB2" s="14">
        <v>46082.0</v>
      </c>
      <c r="AC2" s="14">
        <v>46113.0</v>
      </c>
      <c r="AD2" s="14">
        <v>46143.0</v>
      </c>
      <c r="AE2" s="14">
        <v>46174.0</v>
      </c>
      <c r="AF2" s="14">
        <v>46204.0</v>
      </c>
      <c r="AG2" s="14">
        <v>46235.0</v>
      </c>
      <c r="AH2" s="14">
        <v>46266.0</v>
      </c>
      <c r="AI2" s="14">
        <v>46296.0</v>
      </c>
      <c r="AJ2" s="14">
        <v>46327.0</v>
      </c>
      <c r="AK2" s="14">
        <v>46357.0</v>
      </c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</row>
    <row r="3">
      <c r="A3" s="16" t="s">
        <v>16</v>
      </c>
      <c r="B3" s="16" t="s">
        <v>17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22</v>
      </c>
      <c r="H3" s="18" t="s">
        <v>22</v>
      </c>
      <c r="I3" s="19" t="s">
        <v>23</v>
      </c>
      <c r="J3" s="20" t="s">
        <v>24</v>
      </c>
      <c r="K3" s="21" t="b">
        <f t="shared" ref="K3:K26" si="2">if(H3="","",NOT(ISNA(VLOOKUP(J3,'Команда'!G:G,1,false))))</f>
        <v>1</v>
      </c>
      <c r="L3" s="21">
        <f t="shared" ref="L3:L906" si="3">if(H3="","",sumifs(N3:BO3,N$2:BO$2,"&gt;"&amp;$L$1))</f>
        <v>0</v>
      </c>
      <c r="M3" s="21">
        <f t="array" ref="M3">IF(H3="","",SUMif(year(N$2:BO$2),M$2,N3:BO3))</f>
        <v>0</v>
      </c>
      <c r="N3" s="22">
        <v>15.88</v>
      </c>
      <c r="O3" s="22">
        <v>14.5</v>
      </c>
      <c r="P3" s="22">
        <v>4.87</v>
      </c>
      <c r="Q3" s="22">
        <v>11.0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>
      <c r="A4" s="16" t="s">
        <v>16</v>
      </c>
      <c r="B4" s="16" t="s">
        <v>17</v>
      </c>
      <c r="C4" s="17" t="s">
        <v>18</v>
      </c>
      <c r="D4" s="17" t="s">
        <v>19</v>
      </c>
      <c r="E4" s="17" t="s">
        <v>20</v>
      </c>
      <c r="F4" s="17" t="s">
        <v>25</v>
      </c>
      <c r="G4" s="17" t="s">
        <v>26</v>
      </c>
      <c r="H4" s="18" t="s">
        <v>26</v>
      </c>
      <c r="I4" s="19" t="s">
        <v>23</v>
      </c>
      <c r="J4" s="24" t="s">
        <v>24</v>
      </c>
      <c r="K4" s="21" t="b">
        <f t="shared" si="2"/>
        <v>1</v>
      </c>
      <c r="L4" s="21">
        <f t="shared" si="3"/>
        <v>0</v>
      </c>
      <c r="M4" s="21">
        <f t="array" ref="M4">IF(H4="","",SUMif(year(N$2:BO$2),M$2,N4:BO4))</f>
        <v>0</v>
      </c>
      <c r="N4" s="22">
        <v>0.63</v>
      </c>
      <c r="O4" s="22">
        <v>3.5</v>
      </c>
      <c r="P4" s="22">
        <v>5.0</v>
      </c>
      <c r="Q4" s="22">
        <v>5.0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>
      <c r="A5" s="16" t="s">
        <v>27</v>
      </c>
      <c r="B5" s="16" t="s">
        <v>28</v>
      </c>
      <c r="C5" s="17" t="s">
        <v>18</v>
      </c>
      <c r="D5" s="17" t="s">
        <v>29</v>
      </c>
      <c r="E5" s="17" t="s">
        <v>30</v>
      </c>
      <c r="F5" s="17" t="s">
        <v>31</v>
      </c>
      <c r="G5" s="17" t="s">
        <v>32</v>
      </c>
      <c r="H5" s="18" t="s">
        <v>32</v>
      </c>
      <c r="I5" s="19" t="s">
        <v>33</v>
      </c>
      <c r="J5" s="20" t="s">
        <v>34</v>
      </c>
      <c r="K5" s="21" t="b">
        <f t="shared" si="2"/>
        <v>1</v>
      </c>
      <c r="L5" s="21">
        <f t="shared" si="3"/>
        <v>0</v>
      </c>
      <c r="M5" s="21">
        <f t="array" ref="M5">IF(H5="","",SUMif(year(N$2:BO$2),M$2,N5:BO5))</f>
        <v>247</v>
      </c>
      <c r="N5" s="22">
        <v>17.0</v>
      </c>
      <c r="O5" s="22">
        <v>20.0</v>
      </c>
      <c r="P5" s="22">
        <v>21.0</v>
      </c>
      <c r="Q5" s="22">
        <v>22.0</v>
      </c>
      <c r="R5" s="22">
        <v>18.0</v>
      </c>
      <c r="S5" s="22">
        <v>19.0</v>
      </c>
      <c r="T5" s="22">
        <v>20.0</v>
      </c>
      <c r="U5" s="22">
        <v>21.0</v>
      </c>
      <c r="V5" s="22">
        <v>22.0</v>
      </c>
      <c r="W5" s="22">
        <v>13.0</v>
      </c>
      <c r="X5" s="22">
        <v>9.0</v>
      </c>
      <c r="Y5" s="22">
        <v>22.0</v>
      </c>
      <c r="Z5" s="22">
        <v>15.0</v>
      </c>
      <c r="AA5" s="22">
        <v>19.0</v>
      </c>
      <c r="AB5" s="22">
        <v>21.0</v>
      </c>
      <c r="AC5" s="22">
        <v>22.0</v>
      </c>
      <c r="AD5" s="22">
        <v>19.0</v>
      </c>
      <c r="AE5" s="22">
        <v>21.0</v>
      </c>
      <c r="AF5" s="22">
        <v>23.0</v>
      </c>
      <c r="AG5" s="22">
        <v>21.0</v>
      </c>
      <c r="AH5" s="22">
        <v>22.0</v>
      </c>
      <c r="AI5" s="22">
        <v>22.0</v>
      </c>
      <c r="AJ5" s="22">
        <v>20.0</v>
      </c>
      <c r="AK5" s="22">
        <v>22.0</v>
      </c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>
      <c r="A6" s="16" t="s">
        <v>16</v>
      </c>
      <c r="B6" s="16" t="s">
        <v>35</v>
      </c>
      <c r="C6" s="17" t="s">
        <v>18</v>
      </c>
      <c r="D6" s="17" t="s">
        <v>19</v>
      </c>
      <c r="E6" s="17" t="s">
        <v>36</v>
      </c>
      <c r="F6" s="17" t="s">
        <v>37</v>
      </c>
      <c r="G6" s="17" t="s">
        <v>38</v>
      </c>
      <c r="H6" s="25" t="s">
        <v>38</v>
      </c>
      <c r="I6" s="19" t="s">
        <v>39</v>
      </c>
      <c r="J6" s="24" t="s">
        <v>40</v>
      </c>
      <c r="K6" s="21" t="b">
        <f t="shared" si="2"/>
        <v>1</v>
      </c>
      <c r="L6" s="21">
        <f t="shared" si="3"/>
        <v>0</v>
      </c>
      <c r="M6" s="21">
        <f t="array" ref="M6">IF(H6="","",SUMif(year(N$2:BO$2),M$2,N6:BO6))</f>
        <v>117</v>
      </c>
      <c r="N6" s="22">
        <v>17.0</v>
      </c>
      <c r="O6" s="22">
        <v>20.0</v>
      </c>
      <c r="P6" s="22">
        <v>21.0</v>
      </c>
      <c r="Q6" s="22">
        <v>22.0</v>
      </c>
      <c r="R6" s="22">
        <v>18.0</v>
      </c>
      <c r="S6" s="22">
        <v>19.0</v>
      </c>
      <c r="T6" s="22">
        <v>23.0</v>
      </c>
      <c r="U6" s="22">
        <v>21.0</v>
      </c>
      <c r="V6" s="22">
        <v>22.0</v>
      </c>
      <c r="W6" s="22">
        <v>23.0</v>
      </c>
      <c r="X6" s="22">
        <v>19.0</v>
      </c>
      <c r="Y6" s="22">
        <v>22.0</v>
      </c>
      <c r="Z6" s="22">
        <v>15.0</v>
      </c>
      <c r="AA6" s="22">
        <v>19.0</v>
      </c>
      <c r="AB6" s="22">
        <v>21.0</v>
      </c>
      <c r="AC6" s="22">
        <v>22.0</v>
      </c>
      <c r="AD6" s="22">
        <v>19.0</v>
      </c>
      <c r="AE6" s="22">
        <v>21.0</v>
      </c>
      <c r="AF6" s="22"/>
      <c r="AG6" s="22"/>
      <c r="AH6" s="22"/>
      <c r="AI6" s="22"/>
      <c r="AJ6" s="22"/>
      <c r="AK6" s="22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</row>
    <row r="7">
      <c r="A7" s="16" t="s">
        <v>12</v>
      </c>
      <c r="B7" s="16" t="s">
        <v>12</v>
      </c>
      <c r="C7" s="17" t="s">
        <v>18</v>
      </c>
      <c r="D7" s="17" t="s">
        <v>19</v>
      </c>
      <c r="E7" s="17" t="s">
        <v>36</v>
      </c>
      <c r="F7" s="17" t="s">
        <v>37</v>
      </c>
      <c r="G7" s="17" t="s">
        <v>38</v>
      </c>
      <c r="H7" s="25" t="s">
        <v>38</v>
      </c>
      <c r="I7" s="19" t="s">
        <v>39</v>
      </c>
      <c r="J7" s="24" t="s">
        <v>39</v>
      </c>
      <c r="K7" s="21" t="b">
        <f t="shared" si="2"/>
        <v>1</v>
      </c>
      <c r="L7" s="21">
        <f t="shared" si="3"/>
        <v>0</v>
      </c>
      <c r="M7" s="21">
        <f t="array" ref="M7">IF(H7="","",SUMif(year(N$2:BO$2),M$2,N7:BO7))</f>
        <v>117</v>
      </c>
      <c r="N7" s="22">
        <v>17.0</v>
      </c>
      <c r="O7" s="22">
        <v>20.0</v>
      </c>
      <c r="P7" s="22">
        <v>21.0</v>
      </c>
      <c r="Q7" s="22">
        <v>22.0</v>
      </c>
      <c r="R7" s="22">
        <v>18.0</v>
      </c>
      <c r="S7" s="22">
        <v>19.0</v>
      </c>
      <c r="T7" s="22">
        <v>23.0</v>
      </c>
      <c r="U7" s="22">
        <v>21.0</v>
      </c>
      <c r="V7" s="22">
        <v>22.0</v>
      </c>
      <c r="W7" s="22">
        <v>23.0</v>
      </c>
      <c r="X7" s="22">
        <v>19.0</v>
      </c>
      <c r="Y7" s="22">
        <v>22.0</v>
      </c>
      <c r="Z7" s="22">
        <v>15.0</v>
      </c>
      <c r="AA7" s="22">
        <v>19.0</v>
      </c>
      <c r="AB7" s="22">
        <v>21.0</v>
      </c>
      <c r="AC7" s="22">
        <v>22.0</v>
      </c>
      <c r="AD7" s="22">
        <v>19.0</v>
      </c>
      <c r="AE7" s="22">
        <v>21.0</v>
      </c>
      <c r="AF7" s="22"/>
      <c r="AG7" s="22"/>
      <c r="AH7" s="22"/>
      <c r="AI7" s="22"/>
      <c r="AJ7" s="22"/>
      <c r="AK7" s="22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</row>
    <row r="8">
      <c r="A8" s="16" t="s">
        <v>27</v>
      </c>
      <c r="B8" s="16" t="s">
        <v>41</v>
      </c>
      <c r="C8" s="17" t="s">
        <v>18</v>
      </c>
      <c r="D8" s="17" t="s">
        <v>19</v>
      </c>
      <c r="E8" s="17" t="s">
        <v>20</v>
      </c>
      <c r="F8" s="17" t="s">
        <v>42</v>
      </c>
      <c r="G8" s="17" t="s">
        <v>43</v>
      </c>
      <c r="H8" s="25" t="s">
        <v>43</v>
      </c>
      <c r="I8" s="19" t="s">
        <v>23</v>
      </c>
      <c r="J8" s="24" t="s">
        <v>44</v>
      </c>
      <c r="K8" s="21" t="b">
        <f t="shared" si="2"/>
        <v>1</v>
      </c>
      <c r="L8" s="21">
        <f t="shared" si="3"/>
        <v>0</v>
      </c>
      <c r="M8" s="21">
        <f t="array" ref="M8">IF(H8="","",SUMif(year(N$2:BO$2),M$2,N8:BO8))</f>
        <v>247</v>
      </c>
      <c r="N8" s="22">
        <v>10.7</v>
      </c>
      <c r="O8" s="22">
        <v>17.4</v>
      </c>
      <c r="P8" s="22">
        <v>18.0</v>
      </c>
      <c r="Q8" s="22">
        <v>21.0</v>
      </c>
      <c r="R8" s="22">
        <v>17.6</v>
      </c>
      <c r="S8" s="22">
        <v>8.55</v>
      </c>
      <c r="T8" s="22">
        <v>0.7</v>
      </c>
      <c r="U8" s="22">
        <v>8.0</v>
      </c>
      <c r="V8" s="22">
        <v>1.8</v>
      </c>
      <c r="W8" s="22"/>
      <c r="X8" s="22"/>
      <c r="Y8" s="22">
        <v>22.0</v>
      </c>
      <c r="Z8" s="22">
        <v>15.0</v>
      </c>
      <c r="AA8" s="22">
        <v>19.0</v>
      </c>
      <c r="AB8" s="22">
        <v>21.0</v>
      </c>
      <c r="AC8" s="22">
        <v>22.0</v>
      </c>
      <c r="AD8" s="22">
        <v>19.0</v>
      </c>
      <c r="AE8" s="22">
        <v>21.0</v>
      </c>
      <c r="AF8" s="22">
        <v>23.0</v>
      </c>
      <c r="AG8" s="22">
        <v>21.0</v>
      </c>
      <c r="AH8" s="22">
        <v>22.0</v>
      </c>
      <c r="AI8" s="22">
        <v>22.0</v>
      </c>
      <c r="AJ8" s="22">
        <v>20.0</v>
      </c>
      <c r="AK8" s="22">
        <v>22.0</v>
      </c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</row>
    <row r="9">
      <c r="A9" s="16" t="s">
        <v>27</v>
      </c>
      <c r="B9" s="16" t="s">
        <v>45</v>
      </c>
      <c r="C9" s="17" t="s">
        <v>18</v>
      </c>
      <c r="D9" s="17" t="s">
        <v>29</v>
      </c>
      <c r="E9" s="17" t="s">
        <v>46</v>
      </c>
      <c r="F9" s="17" t="s">
        <v>47</v>
      </c>
      <c r="G9" s="17" t="s">
        <v>48</v>
      </c>
      <c r="H9" s="18" t="s">
        <v>48</v>
      </c>
      <c r="I9" s="19" t="s">
        <v>33</v>
      </c>
      <c r="J9" s="24" t="s">
        <v>49</v>
      </c>
      <c r="K9" s="21" t="b">
        <f t="shared" si="2"/>
        <v>1</v>
      </c>
      <c r="L9" s="21">
        <f t="shared" si="3"/>
        <v>0</v>
      </c>
      <c r="M9" s="21">
        <f t="array" ref="M9">IF(H9="","",SUMif(year(N$2:BO$2),M$2,N9:BO9))</f>
        <v>0</v>
      </c>
      <c r="N9" s="22">
        <v>13.0</v>
      </c>
      <c r="O9" s="22">
        <v>19.0</v>
      </c>
      <c r="P9" s="22">
        <v>18.0</v>
      </c>
      <c r="Q9" s="22">
        <v>22.0</v>
      </c>
      <c r="R9" s="22">
        <v>13.0</v>
      </c>
      <c r="S9" s="22">
        <v>19.0</v>
      </c>
      <c r="T9" s="22">
        <v>16.0</v>
      </c>
      <c r="U9" s="22">
        <v>11.0</v>
      </c>
      <c r="V9" s="22">
        <v>22.0</v>
      </c>
      <c r="W9" s="22">
        <v>18.0</v>
      </c>
      <c r="X9" s="22">
        <v>19.0</v>
      </c>
      <c r="Y9" s="22">
        <v>11.0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</row>
    <row r="10">
      <c r="A10" s="16" t="s">
        <v>27</v>
      </c>
      <c r="B10" s="16" t="s">
        <v>35</v>
      </c>
      <c r="C10" s="17" t="s">
        <v>18</v>
      </c>
      <c r="D10" s="17" t="s">
        <v>29</v>
      </c>
      <c r="E10" s="17" t="s">
        <v>46</v>
      </c>
      <c r="F10" s="17" t="s">
        <v>47</v>
      </c>
      <c r="G10" s="17" t="s">
        <v>50</v>
      </c>
      <c r="H10" s="25" t="s">
        <v>50</v>
      </c>
      <c r="I10" s="19" t="s">
        <v>33</v>
      </c>
      <c r="J10" s="24" t="s">
        <v>51</v>
      </c>
      <c r="K10" s="21" t="b">
        <f t="shared" si="2"/>
        <v>1</v>
      </c>
      <c r="L10" s="21">
        <f t="shared" si="3"/>
        <v>0</v>
      </c>
      <c r="M10" s="21">
        <f t="array" ref="M10">IF(H10="","",SUMif(year(N$2:BO$2),M$2,N10:BO10))</f>
        <v>0</v>
      </c>
      <c r="N10" s="22">
        <v>5.0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</row>
    <row r="11">
      <c r="A11" s="16" t="s">
        <v>16</v>
      </c>
      <c r="B11" s="16" t="s">
        <v>35</v>
      </c>
      <c r="C11" s="17" t="s">
        <v>18</v>
      </c>
      <c r="D11" s="17" t="s">
        <v>19</v>
      </c>
      <c r="E11" s="17" t="s">
        <v>36</v>
      </c>
      <c r="F11" s="17" t="s">
        <v>37</v>
      </c>
      <c r="G11" s="17" t="s">
        <v>38</v>
      </c>
      <c r="H11" s="25" t="s">
        <v>38</v>
      </c>
      <c r="I11" s="19" t="s">
        <v>39</v>
      </c>
      <c r="J11" s="24" t="s">
        <v>52</v>
      </c>
      <c r="K11" s="21" t="b">
        <f t="shared" si="2"/>
        <v>1</v>
      </c>
      <c r="L11" s="21">
        <f t="shared" si="3"/>
        <v>0</v>
      </c>
      <c r="M11" s="21">
        <f t="array" ref="M11">IF(H11="","",SUMif(year(N$2:BO$2),M$2,N11:BO11))</f>
        <v>117</v>
      </c>
      <c r="N11" s="22">
        <v>17.0</v>
      </c>
      <c r="O11" s="22">
        <v>20.0</v>
      </c>
      <c r="P11" s="22">
        <v>21.0</v>
      </c>
      <c r="Q11" s="22">
        <v>22.0</v>
      </c>
      <c r="R11" s="22">
        <v>18.0</v>
      </c>
      <c r="S11" s="22">
        <v>19.0</v>
      </c>
      <c r="T11" s="22">
        <v>23.0</v>
      </c>
      <c r="U11" s="22">
        <v>21.0</v>
      </c>
      <c r="V11" s="22">
        <v>22.0</v>
      </c>
      <c r="W11" s="22">
        <v>23.0</v>
      </c>
      <c r="X11" s="22">
        <v>19.0</v>
      </c>
      <c r="Y11" s="22">
        <v>22.0</v>
      </c>
      <c r="Z11" s="22">
        <v>15.0</v>
      </c>
      <c r="AA11" s="22">
        <v>19.0</v>
      </c>
      <c r="AB11" s="22">
        <v>21.0</v>
      </c>
      <c r="AC11" s="22">
        <v>22.0</v>
      </c>
      <c r="AD11" s="22">
        <v>19.0</v>
      </c>
      <c r="AE11" s="22">
        <v>21.0</v>
      </c>
      <c r="AF11" s="22"/>
      <c r="AG11" s="22"/>
      <c r="AH11" s="22"/>
      <c r="AI11" s="22"/>
      <c r="AJ11" s="22"/>
      <c r="AK11" s="22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</row>
    <row r="12">
      <c r="A12" s="16" t="s">
        <v>16</v>
      </c>
      <c r="B12" s="16" t="s">
        <v>53</v>
      </c>
      <c r="C12" s="17" t="s">
        <v>18</v>
      </c>
      <c r="D12" s="17" t="s">
        <v>19</v>
      </c>
      <c r="E12" s="17" t="s">
        <v>54</v>
      </c>
      <c r="F12" s="17" t="s">
        <v>55</v>
      </c>
      <c r="G12" s="17" t="s">
        <v>56</v>
      </c>
      <c r="H12" s="25" t="s">
        <v>56</v>
      </c>
      <c r="I12" s="19" t="s">
        <v>57</v>
      </c>
      <c r="J12" s="24" t="s">
        <v>58</v>
      </c>
      <c r="K12" s="21" t="b">
        <f t="shared" si="2"/>
        <v>1</v>
      </c>
      <c r="L12" s="21">
        <f t="shared" si="3"/>
        <v>0</v>
      </c>
      <c r="M12" s="21">
        <f t="array" ref="M12">IF(H12="","",SUMif(year(N$2:BO$2),M$2,N12:BO12))</f>
        <v>0</v>
      </c>
      <c r="N12" s="22">
        <v>17.0</v>
      </c>
      <c r="O12" s="22">
        <v>20.0</v>
      </c>
      <c r="P12" s="22">
        <v>21.0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</row>
    <row r="13">
      <c r="A13" s="16" t="s">
        <v>27</v>
      </c>
      <c r="B13" s="16" t="s">
        <v>45</v>
      </c>
      <c r="C13" s="17" t="s">
        <v>18</v>
      </c>
      <c r="D13" s="17" t="s">
        <v>29</v>
      </c>
      <c r="E13" s="17" t="s">
        <v>46</v>
      </c>
      <c r="F13" s="17" t="s">
        <v>47</v>
      </c>
      <c r="G13" s="17" t="s">
        <v>50</v>
      </c>
      <c r="H13" s="25" t="s">
        <v>50</v>
      </c>
      <c r="I13" s="19" t="s">
        <v>33</v>
      </c>
      <c r="J13" s="20" t="s">
        <v>59</v>
      </c>
      <c r="K13" s="21" t="b">
        <f t="shared" si="2"/>
        <v>1</v>
      </c>
      <c r="L13" s="21">
        <f t="shared" si="3"/>
        <v>0</v>
      </c>
      <c r="M13" s="21">
        <f t="array" ref="M13">IF(H13="","",SUMif(year(N$2:BO$2),M$2,N13:BO13))</f>
        <v>0</v>
      </c>
      <c r="N13" s="22">
        <v>17.0</v>
      </c>
      <c r="O13" s="22">
        <v>20.0</v>
      </c>
      <c r="P13" s="22">
        <v>21.0</v>
      </c>
      <c r="Q13" s="22">
        <v>14.0</v>
      </c>
      <c r="R13" s="22">
        <v>18.0</v>
      </c>
      <c r="S13" s="22">
        <v>19.0</v>
      </c>
      <c r="T13" s="22">
        <v>23.0</v>
      </c>
      <c r="U13" s="22">
        <v>21.0</v>
      </c>
      <c r="V13" s="22">
        <v>22.0</v>
      </c>
      <c r="W13" s="22">
        <v>23.0</v>
      </c>
      <c r="X13" s="22">
        <v>9.0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</row>
    <row r="14">
      <c r="A14" s="16" t="s">
        <v>16</v>
      </c>
      <c r="B14" s="16" t="s">
        <v>60</v>
      </c>
      <c r="C14" s="17" t="s">
        <v>18</v>
      </c>
      <c r="D14" s="17" t="s">
        <v>29</v>
      </c>
      <c r="E14" s="17" t="s">
        <v>61</v>
      </c>
      <c r="F14" s="17" t="s">
        <v>62</v>
      </c>
      <c r="G14" s="17" t="s">
        <v>63</v>
      </c>
      <c r="H14" s="25" t="s">
        <v>64</v>
      </c>
      <c r="I14" s="19" t="s">
        <v>65</v>
      </c>
      <c r="J14" s="24" t="s">
        <v>66</v>
      </c>
      <c r="K14" s="21" t="b">
        <f t="shared" si="2"/>
        <v>1</v>
      </c>
      <c r="L14" s="21">
        <f t="shared" si="3"/>
        <v>0</v>
      </c>
      <c r="M14" s="21">
        <f t="array" ref="M14">IF(H14="","",SUMif(year(N$2:BO$2),M$2,N14:BO14))</f>
        <v>34</v>
      </c>
      <c r="N14" s="22"/>
      <c r="O14" s="22"/>
      <c r="P14" s="22"/>
      <c r="Q14" s="22"/>
      <c r="R14" s="22"/>
      <c r="S14" s="22"/>
      <c r="T14" s="22"/>
      <c r="U14" s="22">
        <v>8.0</v>
      </c>
      <c r="V14" s="22">
        <v>21.0</v>
      </c>
      <c r="W14" s="22">
        <v>16.0</v>
      </c>
      <c r="X14" s="22">
        <v>13.0</v>
      </c>
      <c r="Y14" s="22">
        <v>22.0</v>
      </c>
      <c r="Z14" s="22">
        <v>15.0</v>
      </c>
      <c r="AA14" s="22">
        <v>19.0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</row>
    <row r="15">
      <c r="A15" s="16" t="s">
        <v>16</v>
      </c>
      <c r="B15" s="16" t="s">
        <v>67</v>
      </c>
      <c r="C15" s="17" t="s">
        <v>18</v>
      </c>
      <c r="D15" s="17" t="s">
        <v>29</v>
      </c>
      <c r="E15" s="17" t="s">
        <v>68</v>
      </c>
      <c r="F15" s="17" t="s">
        <v>69</v>
      </c>
      <c r="G15" s="17" t="s">
        <v>70</v>
      </c>
      <c r="H15" s="25" t="s">
        <v>70</v>
      </c>
      <c r="I15" s="19" t="s">
        <v>71</v>
      </c>
      <c r="J15" s="24" t="s">
        <v>72</v>
      </c>
      <c r="K15" s="21" t="b">
        <f t="shared" si="2"/>
        <v>1</v>
      </c>
      <c r="L15" s="21">
        <f t="shared" si="3"/>
        <v>0</v>
      </c>
      <c r="M15" s="21">
        <f t="array" ref="M15">IF(H15="","",SUMif(year(N$2:BO$2),M$2,N15:BO15))</f>
        <v>247</v>
      </c>
      <c r="N15" s="22">
        <v>17.0</v>
      </c>
      <c r="O15" s="22">
        <v>19.0</v>
      </c>
      <c r="P15" s="22">
        <v>21.0</v>
      </c>
      <c r="Q15" s="22">
        <v>22.0</v>
      </c>
      <c r="R15" s="22">
        <v>18.0</v>
      </c>
      <c r="S15" s="22">
        <v>19.0</v>
      </c>
      <c r="T15" s="22">
        <v>23.0</v>
      </c>
      <c r="U15" s="22">
        <v>21.0</v>
      </c>
      <c r="V15" s="22">
        <v>22.0</v>
      </c>
      <c r="W15" s="22">
        <v>23.0</v>
      </c>
      <c r="X15" s="22">
        <v>19.0</v>
      </c>
      <c r="Y15" s="22">
        <v>22.0</v>
      </c>
      <c r="Z15" s="22">
        <v>15.0</v>
      </c>
      <c r="AA15" s="22">
        <v>19.0</v>
      </c>
      <c r="AB15" s="22">
        <v>21.0</v>
      </c>
      <c r="AC15" s="22">
        <v>22.0</v>
      </c>
      <c r="AD15" s="22">
        <v>19.0</v>
      </c>
      <c r="AE15" s="22">
        <v>21.0</v>
      </c>
      <c r="AF15" s="22">
        <v>23.0</v>
      </c>
      <c r="AG15" s="22">
        <v>21.0</v>
      </c>
      <c r="AH15" s="22">
        <v>22.0</v>
      </c>
      <c r="AI15" s="22">
        <v>22.0</v>
      </c>
      <c r="AJ15" s="22">
        <v>20.0</v>
      </c>
      <c r="AK15" s="22">
        <v>22.0</v>
      </c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</row>
    <row r="16">
      <c r="A16" s="16" t="s">
        <v>27</v>
      </c>
      <c r="B16" s="16" t="s">
        <v>73</v>
      </c>
      <c r="C16" s="17" t="s">
        <v>18</v>
      </c>
      <c r="D16" s="17" t="s">
        <v>29</v>
      </c>
      <c r="E16" s="17" t="s">
        <v>68</v>
      </c>
      <c r="F16" s="17" t="s">
        <v>69</v>
      </c>
      <c r="G16" s="17" t="s">
        <v>70</v>
      </c>
      <c r="H16" s="25" t="s">
        <v>70</v>
      </c>
      <c r="I16" s="19" t="s">
        <v>71</v>
      </c>
      <c r="J16" s="24" t="s">
        <v>74</v>
      </c>
      <c r="K16" s="21" t="b">
        <f t="shared" si="2"/>
        <v>1</v>
      </c>
      <c r="L16" s="21">
        <f t="shared" si="3"/>
        <v>0</v>
      </c>
      <c r="M16" s="21">
        <f t="array" ref="M16">IF(H16="","",SUMif(year(N$2:BO$2),M$2,N16:BO16))</f>
        <v>247</v>
      </c>
      <c r="N16" s="22">
        <v>17.0</v>
      </c>
      <c r="O16" s="22">
        <v>20.0</v>
      </c>
      <c r="P16" s="22">
        <v>21.0</v>
      </c>
      <c r="Q16" s="22">
        <v>22.0</v>
      </c>
      <c r="R16" s="22">
        <v>18.0</v>
      </c>
      <c r="S16" s="22">
        <v>19.0</v>
      </c>
      <c r="T16" s="22">
        <v>23.0</v>
      </c>
      <c r="U16" s="22">
        <v>21.0</v>
      </c>
      <c r="V16" s="22">
        <v>22.0</v>
      </c>
      <c r="W16" s="22">
        <v>23.0</v>
      </c>
      <c r="X16" s="22">
        <v>19.0</v>
      </c>
      <c r="Y16" s="22">
        <v>22.0</v>
      </c>
      <c r="Z16" s="22">
        <v>15.0</v>
      </c>
      <c r="AA16" s="22">
        <v>19.0</v>
      </c>
      <c r="AB16" s="22">
        <v>21.0</v>
      </c>
      <c r="AC16" s="22">
        <v>22.0</v>
      </c>
      <c r="AD16" s="22">
        <v>19.0</v>
      </c>
      <c r="AE16" s="22">
        <v>21.0</v>
      </c>
      <c r="AF16" s="22">
        <v>23.0</v>
      </c>
      <c r="AG16" s="22">
        <v>21.0</v>
      </c>
      <c r="AH16" s="22">
        <v>22.0</v>
      </c>
      <c r="AI16" s="22">
        <v>22.0</v>
      </c>
      <c r="AJ16" s="22">
        <v>20.0</v>
      </c>
      <c r="AK16" s="22">
        <v>22.0</v>
      </c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</row>
    <row r="17">
      <c r="A17" s="16" t="s">
        <v>16</v>
      </c>
      <c r="B17" s="16" t="s">
        <v>75</v>
      </c>
      <c r="C17" s="17" t="s">
        <v>18</v>
      </c>
      <c r="D17" s="17" t="s">
        <v>19</v>
      </c>
      <c r="E17" s="17" t="s">
        <v>20</v>
      </c>
      <c r="F17" s="17" t="s">
        <v>21</v>
      </c>
      <c r="G17" s="17" t="s">
        <v>22</v>
      </c>
      <c r="H17" s="18" t="s">
        <v>22</v>
      </c>
      <c r="I17" s="19" t="s">
        <v>23</v>
      </c>
      <c r="J17" s="20" t="s">
        <v>76</v>
      </c>
      <c r="K17" s="21" t="b">
        <f t="shared" si="2"/>
        <v>1</v>
      </c>
      <c r="L17" s="21">
        <f t="shared" si="3"/>
        <v>0</v>
      </c>
      <c r="M17" s="21">
        <f t="array" ref="M17">IF(H17="","",SUMif(year(N$2:BO$2),M$2,N17:BO17))</f>
        <v>0</v>
      </c>
      <c r="N17" s="22"/>
      <c r="O17" s="22"/>
      <c r="P17" s="22">
        <v>4.6</v>
      </c>
      <c r="Q17" s="22">
        <v>5.5</v>
      </c>
      <c r="R17" s="22">
        <v>1.8</v>
      </c>
      <c r="S17" s="22">
        <v>4.2</v>
      </c>
      <c r="T17" s="22">
        <v>3.9</v>
      </c>
      <c r="U17" s="22">
        <v>5.2</v>
      </c>
      <c r="V17" s="22">
        <v>7.3</v>
      </c>
      <c r="W17" s="22">
        <v>5.75</v>
      </c>
      <c r="X17" s="22">
        <v>4.75</v>
      </c>
      <c r="Y17" s="22">
        <v>5.5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</row>
    <row r="18">
      <c r="A18" s="16" t="s">
        <v>16</v>
      </c>
      <c r="B18" s="16" t="s">
        <v>75</v>
      </c>
      <c r="C18" s="17" t="s">
        <v>18</v>
      </c>
      <c r="D18" s="17" t="s">
        <v>19</v>
      </c>
      <c r="E18" s="17" t="s">
        <v>20</v>
      </c>
      <c r="F18" s="17" t="s">
        <v>25</v>
      </c>
      <c r="G18" s="17" t="s">
        <v>26</v>
      </c>
      <c r="H18" s="18" t="s">
        <v>26</v>
      </c>
      <c r="I18" s="19" t="s">
        <v>23</v>
      </c>
      <c r="J18" s="20" t="s">
        <v>76</v>
      </c>
      <c r="K18" s="21" t="b">
        <f t="shared" si="2"/>
        <v>1</v>
      </c>
      <c r="L18" s="21">
        <f t="shared" si="3"/>
        <v>0</v>
      </c>
      <c r="M18" s="21">
        <f t="array" ref="M18">IF(H18="","",SUMif(year(N$2:BO$2),M$2,N18:BO18))</f>
        <v>0</v>
      </c>
      <c r="N18" s="22"/>
      <c r="O18" s="22"/>
      <c r="P18" s="22"/>
      <c r="Q18" s="22"/>
      <c r="R18" s="22"/>
      <c r="S18" s="22"/>
      <c r="T18" s="22"/>
      <c r="U18" s="22"/>
      <c r="V18" s="22"/>
      <c r="W18" s="22">
        <v>6.0</v>
      </c>
      <c r="X18" s="22">
        <v>7.0</v>
      </c>
      <c r="Y18" s="22">
        <v>7.0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</row>
    <row r="19">
      <c r="A19" s="16" t="s">
        <v>16</v>
      </c>
      <c r="B19" s="16" t="s">
        <v>17</v>
      </c>
      <c r="C19" s="17" t="s">
        <v>18</v>
      </c>
      <c r="D19" s="17" t="s">
        <v>19</v>
      </c>
      <c r="E19" s="17" t="s">
        <v>20</v>
      </c>
      <c r="F19" s="17" t="s">
        <v>25</v>
      </c>
      <c r="G19" s="17" t="s">
        <v>26</v>
      </c>
      <c r="H19" s="18" t="s">
        <v>26</v>
      </c>
      <c r="I19" s="19" t="s">
        <v>23</v>
      </c>
      <c r="J19" s="24" t="s">
        <v>77</v>
      </c>
      <c r="K19" s="21" t="b">
        <f t="shared" si="2"/>
        <v>1</v>
      </c>
      <c r="L19" s="21">
        <f t="shared" si="3"/>
        <v>0</v>
      </c>
      <c r="M19" s="21">
        <f t="array" ref="M19">IF(H19="","",SUMif(year(N$2:BO$2),M$2,N19:BO19))</f>
        <v>0</v>
      </c>
      <c r="N19" s="22">
        <v>0.88</v>
      </c>
      <c r="O19" s="22">
        <v>0.13</v>
      </c>
      <c r="P19" s="22"/>
      <c r="Q19" s="22">
        <v>1.0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</row>
    <row r="20">
      <c r="A20" s="16" t="s">
        <v>16</v>
      </c>
      <c r="B20" s="16" t="s">
        <v>17</v>
      </c>
      <c r="C20" s="17" t="s">
        <v>18</v>
      </c>
      <c r="D20" s="17" t="s">
        <v>19</v>
      </c>
      <c r="E20" s="17" t="s">
        <v>20</v>
      </c>
      <c r="F20" s="17" t="s">
        <v>42</v>
      </c>
      <c r="G20" s="17" t="s">
        <v>43</v>
      </c>
      <c r="H20" s="25" t="s">
        <v>43</v>
      </c>
      <c r="I20" s="19" t="s">
        <v>23</v>
      </c>
      <c r="J20" s="24" t="s">
        <v>77</v>
      </c>
      <c r="K20" s="21" t="b">
        <f t="shared" si="2"/>
        <v>1</v>
      </c>
      <c r="L20" s="21">
        <f t="shared" si="3"/>
        <v>0</v>
      </c>
      <c r="M20" s="21">
        <f t="array" ref="M20">IF(H20="","",SUMif(year(N$2:BO$2),M$2,N20:BO20))</f>
        <v>0</v>
      </c>
      <c r="N20" s="22"/>
      <c r="O20" s="22"/>
      <c r="P20" s="22"/>
      <c r="Q20" s="22">
        <v>5.5</v>
      </c>
      <c r="R20" s="22">
        <v>9.0</v>
      </c>
      <c r="S20" s="22">
        <v>9.5</v>
      </c>
      <c r="T20" s="22">
        <v>11.5</v>
      </c>
      <c r="U20" s="22">
        <v>10.5</v>
      </c>
      <c r="V20" s="22">
        <v>11.0</v>
      </c>
      <c r="W20" s="22">
        <v>8.0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</row>
    <row r="21">
      <c r="A21" s="16" t="s">
        <v>12</v>
      </c>
      <c r="B21" s="16" t="s">
        <v>78</v>
      </c>
      <c r="C21" s="17" t="s">
        <v>18</v>
      </c>
      <c r="D21" s="17" t="s">
        <v>29</v>
      </c>
      <c r="E21" s="17" t="s">
        <v>79</v>
      </c>
      <c r="F21" s="17" t="s">
        <v>80</v>
      </c>
      <c r="G21" s="17" t="s">
        <v>81</v>
      </c>
      <c r="H21" s="25" t="s">
        <v>81</v>
      </c>
      <c r="I21" s="19" t="s">
        <v>65</v>
      </c>
      <c r="J21" s="24" t="s">
        <v>82</v>
      </c>
      <c r="K21" s="21" t="b">
        <f t="shared" si="2"/>
        <v>1</v>
      </c>
      <c r="L21" s="21">
        <f t="shared" si="3"/>
        <v>0</v>
      </c>
      <c r="M21" s="21">
        <f t="array" ref="M21">IF(H21="","",SUMif(year(N$2:BO$2),M$2,N21:BO21))</f>
        <v>34</v>
      </c>
      <c r="N21" s="22"/>
      <c r="O21" s="22"/>
      <c r="P21" s="22"/>
      <c r="Q21" s="22"/>
      <c r="R21" s="22"/>
      <c r="S21" s="22"/>
      <c r="T21" s="22"/>
      <c r="U21" s="22"/>
      <c r="V21" s="22"/>
      <c r="W21" s="22">
        <v>21.0</v>
      </c>
      <c r="X21" s="22">
        <v>8.0</v>
      </c>
      <c r="Y21" s="22">
        <v>8.0</v>
      </c>
      <c r="Z21" s="22">
        <v>15.0</v>
      </c>
      <c r="AA21" s="22">
        <v>19.0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</row>
    <row r="22">
      <c r="A22" s="16" t="s">
        <v>12</v>
      </c>
      <c r="B22" s="16" t="s">
        <v>78</v>
      </c>
      <c r="C22" s="17" t="s">
        <v>18</v>
      </c>
      <c r="D22" s="17" t="s">
        <v>29</v>
      </c>
      <c r="E22" s="17" t="s">
        <v>83</v>
      </c>
      <c r="F22" s="17" t="s">
        <v>84</v>
      </c>
      <c r="G22" s="17" t="s">
        <v>85</v>
      </c>
      <c r="H22" s="25" t="s">
        <v>86</v>
      </c>
      <c r="I22" s="19" t="s">
        <v>82</v>
      </c>
      <c r="J22" s="24" t="s">
        <v>82</v>
      </c>
      <c r="K22" s="21" t="b">
        <f t="shared" si="2"/>
        <v>1</v>
      </c>
      <c r="L22" s="21">
        <f t="shared" si="3"/>
        <v>0</v>
      </c>
      <c r="M22" s="21">
        <f t="array" ref="M22">IF(H22="","",SUMif(year(N$2:BO$2),M$2,N22:BO22))</f>
        <v>16</v>
      </c>
      <c r="N22" s="22"/>
      <c r="O22" s="22"/>
      <c r="P22" s="22"/>
      <c r="Q22" s="22"/>
      <c r="R22" s="22"/>
      <c r="S22" s="22"/>
      <c r="T22" s="22"/>
      <c r="U22" s="22">
        <v>0.8</v>
      </c>
      <c r="V22" s="22">
        <v>2.0</v>
      </c>
      <c r="W22" s="22">
        <v>4.0</v>
      </c>
      <c r="X22" s="22">
        <v>4.0</v>
      </c>
      <c r="Y22" s="22">
        <v>4.0</v>
      </c>
      <c r="Z22" s="22">
        <v>4.0</v>
      </c>
      <c r="AA22" s="22">
        <v>4.0</v>
      </c>
      <c r="AB22" s="22">
        <v>4.0</v>
      </c>
      <c r="AC22" s="22">
        <v>4.0</v>
      </c>
      <c r="AD22" s="22"/>
      <c r="AE22" s="22"/>
      <c r="AF22" s="22"/>
      <c r="AG22" s="22"/>
      <c r="AH22" s="22"/>
      <c r="AI22" s="22"/>
      <c r="AJ22" s="22"/>
      <c r="AK22" s="22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</row>
    <row r="23">
      <c r="A23" s="16" t="s">
        <v>16</v>
      </c>
      <c r="B23" s="16" t="s">
        <v>87</v>
      </c>
      <c r="C23" s="17" t="s">
        <v>18</v>
      </c>
      <c r="D23" s="17" t="s">
        <v>19</v>
      </c>
      <c r="E23" s="17" t="s">
        <v>20</v>
      </c>
      <c r="F23" s="17" t="s">
        <v>42</v>
      </c>
      <c r="G23" s="17" t="s">
        <v>43</v>
      </c>
      <c r="H23" s="25" t="s">
        <v>43</v>
      </c>
      <c r="I23" s="19" t="s">
        <v>23</v>
      </c>
      <c r="J23" s="24" t="s">
        <v>88</v>
      </c>
      <c r="K23" s="21" t="b">
        <f t="shared" si="2"/>
        <v>1</v>
      </c>
      <c r="L23" s="21">
        <f t="shared" si="3"/>
        <v>0</v>
      </c>
      <c r="M23" s="21">
        <f t="array" ref="M23">IF(H23="","",SUMif(year(N$2:BO$2),M$2,N23:BO23))</f>
        <v>0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</row>
    <row r="24">
      <c r="A24" s="16" t="s">
        <v>27</v>
      </c>
      <c r="B24" s="16" t="s">
        <v>89</v>
      </c>
      <c r="C24" s="17" t="s">
        <v>18</v>
      </c>
      <c r="D24" s="17" t="s">
        <v>29</v>
      </c>
      <c r="E24" s="17" t="s">
        <v>90</v>
      </c>
      <c r="F24" s="17" t="s">
        <v>91</v>
      </c>
      <c r="G24" s="17" t="s">
        <v>92</v>
      </c>
      <c r="H24" s="25" t="s">
        <v>92</v>
      </c>
      <c r="I24" s="19" t="s">
        <v>33</v>
      </c>
      <c r="J24" s="24" t="s">
        <v>93</v>
      </c>
      <c r="K24" s="21" t="b">
        <f t="shared" si="2"/>
        <v>1</v>
      </c>
      <c r="L24" s="21">
        <f t="shared" si="3"/>
        <v>0</v>
      </c>
      <c r="M24" s="21">
        <f t="array" ref="M24">IF(H24="","",SUMif(year(N$2:BO$2),M$2,N24:BO24))</f>
        <v>247</v>
      </c>
      <c r="N24" s="22">
        <v>17.0</v>
      </c>
      <c r="O24" s="22">
        <v>19.0</v>
      </c>
      <c r="P24" s="26">
        <v>21.0</v>
      </c>
      <c r="Q24" s="22">
        <v>22.0</v>
      </c>
      <c r="R24" s="22">
        <v>18.0</v>
      </c>
      <c r="S24" s="22">
        <v>19.0</v>
      </c>
      <c r="T24" s="22">
        <v>13.0</v>
      </c>
      <c r="U24" s="22">
        <v>21.0</v>
      </c>
      <c r="V24" s="22">
        <v>22.0</v>
      </c>
      <c r="W24" s="22">
        <v>18.0</v>
      </c>
      <c r="X24" s="22">
        <v>19.0</v>
      </c>
      <c r="Y24" s="22">
        <v>22.0</v>
      </c>
      <c r="Z24" s="22">
        <v>15.0</v>
      </c>
      <c r="AA24" s="22">
        <v>19.0</v>
      </c>
      <c r="AB24" s="22">
        <v>21.0</v>
      </c>
      <c r="AC24" s="22">
        <v>22.0</v>
      </c>
      <c r="AD24" s="22">
        <v>19.0</v>
      </c>
      <c r="AE24" s="22">
        <v>21.0</v>
      </c>
      <c r="AF24" s="22">
        <v>23.0</v>
      </c>
      <c r="AG24" s="22">
        <v>21.0</v>
      </c>
      <c r="AH24" s="22">
        <v>22.0</v>
      </c>
      <c r="AI24" s="22">
        <v>22.0</v>
      </c>
      <c r="AJ24" s="22">
        <v>20.0</v>
      </c>
      <c r="AK24" s="22">
        <v>22.0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</row>
    <row r="25">
      <c r="A25" s="16" t="s">
        <v>27</v>
      </c>
      <c r="B25" s="16" t="s">
        <v>35</v>
      </c>
      <c r="C25" s="17" t="s">
        <v>18</v>
      </c>
      <c r="D25" s="17" t="s">
        <v>19</v>
      </c>
      <c r="E25" s="17" t="s">
        <v>36</v>
      </c>
      <c r="F25" s="17" t="s">
        <v>37</v>
      </c>
      <c r="G25" s="17" t="s">
        <v>94</v>
      </c>
      <c r="H25" s="25" t="s">
        <v>94</v>
      </c>
      <c r="I25" s="19" t="s">
        <v>71</v>
      </c>
      <c r="J25" s="24" t="s">
        <v>95</v>
      </c>
      <c r="K25" s="21" t="b">
        <f t="shared" si="2"/>
        <v>1</v>
      </c>
      <c r="L25" s="21">
        <f t="shared" si="3"/>
        <v>0</v>
      </c>
      <c r="M25" s="21">
        <f t="array" ref="M25">IF(H25="","",SUMif(year(N$2:BO$2),M$2,N25:BO25))</f>
        <v>117</v>
      </c>
      <c r="N25" s="22"/>
      <c r="O25" s="22"/>
      <c r="P25" s="22"/>
      <c r="Q25" s="22"/>
      <c r="R25" s="22"/>
      <c r="S25" s="22">
        <v>19.0</v>
      </c>
      <c r="T25" s="22">
        <v>23.0</v>
      </c>
      <c r="U25" s="22">
        <v>21.0</v>
      </c>
      <c r="V25" s="22">
        <v>22.0</v>
      </c>
      <c r="W25" s="22">
        <v>23.0</v>
      </c>
      <c r="X25" s="22">
        <v>19.0</v>
      </c>
      <c r="Y25" s="22">
        <v>22.0</v>
      </c>
      <c r="Z25" s="22">
        <v>15.0</v>
      </c>
      <c r="AA25" s="22">
        <v>19.0</v>
      </c>
      <c r="AB25" s="22">
        <v>21.0</v>
      </c>
      <c r="AC25" s="22">
        <v>22.0</v>
      </c>
      <c r="AD25" s="22">
        <v>19.0</v>
      </c>
      <c r="AE25" s="22">
        <v>21.0</v>
      </c>
      <c r="AF25" s="22"/>
      <c r="AG25" s="22"/>
      <c r="AH25" s="22"/>
      <c r="AI25" s="22"/>
      <c r="AJ25" s="22"/>
      <c r="AK25" s="22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</row>
    <row r="26">
      <c r="A26" s="16" t="s">
        <v>27</v>
      </c>
      <c r="B26" s="16" t="s">
        <v>73</v>
      </c>
      <c r="C26" s="17" t="s">
        <v>18</v>
      </c>
      <c r="D26" s="17" t="s">
        <v>29</v>
      </c>
      <c r="E26" s="17" t="s">
        <v>96</v>
      </c>
      <c r="F26" s="17" t="s">
        <v>97</v>
      </c>
      <c r="G26" s="17" t="s">
        <v>98</v>
      </c>
      <c r="H26" s="25" t="s">
        <v>98</v>
      </c>
      <c r="I26" s="19" t="s">
        <v>71</v>
      </c>
      <c r="J26" s="24" t="s">
        <v>99</v>
      </c>
      <c r="K26" s="21" t="b">
        <f t="shared" si="2"/>
        <v>1</v>
      </c>
      <c r="L26" s="21">
        <f t="shared" si="3"/>
        <v>0</v>
      </c>
      <c r="M26" s="21">
        <f t="array" ref="M26">IF(H26="","",SUMif(year(N$2:BO$2),M$2,N26:BO26))</f>
        <v>247</v>
      </c>
      <c r="N26" s="22">
        <v>17.0</v>
      </c>
      <c r="O26" s="22">
        <v>20.0</v>
      </c>
      <c r="P26" s="22">
        <v>21.0</v>
      </c>
      <c r="Q26" s="22">
        <v>17.0</v>
      </c>
      <c r="R26" s="22">
        <v>18.0</v>
      </c>
      <c r="S26" s="22">
        <v>9.0</v>
      </c>
      <c r="T26" s="22">
        <v>23.0</v>
      </c>
      <c r="U26" s="22">
        <v>21.0</v>
      </c>
      <c r="V26" s="22">
        <v>22.0</v>
      </c>
      <c r="W26" s="22">
        <v>18.0</v>
      </c>
      <c r="X26" s="22">
        <v>19.0</v>
      </c>
      <c r="Y26" s="22">
        <v>22.0</v>
      </c>
      <c r="Z26" s="22">
        <v>15.0</v>
      </c>
      <c r="AA26" s="22">
        <v>19.0</v>
      </c>
      <c r="AB26" s="22">
        <v>21.0</v>
      </c>
      <c r="AC26" s="22">
        <v>22.0</v>
      </c>
      <c r="AD26" s="22">
        <v>19.0</v>
      </c>
      <c r="AE26" s="22">
        <v>21.0</v>
      </c>
      <c r="AF26" s="22">
        <v>23.0</v>
      </c>
      <c r="AG26" s="22">
        <v>21.0</v>
      </c>
      <c r="AH26" s="22">
        <v>22.0</v>
      </c>
      <c r="AI26" s="22">
        <v>22.0</v>
      </c>
      <c r="AJ26" s="22">
        <v>20.0</v>
      </c>
      <c r="AK26" s="22">
        <v>22.0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</row>
    <row r="27">
      <c r="A27" s="16" t="s">
        <v>16</v>
      </c>
      <c r="B27" s="16" t="s">
        <v>53</v>
      </c>
      <c r="C27" s="17" t="s">
        <v>18</v>
      </c>
      <c r="D27" s="17" t="s">
        <v>29</v>
      </c>
      <c r="E27" s="17" t="s">
        <v>96</v>
      </c>
      <c r="F27" s="17" t="s">
        <v>97</v>
      </c>
      <c r="G27" s="17" t="s">
        <v>98</v>
      </c>
      <c r="H27" s="25" t="s">
        <v>98</v>
      </c>
      <c r="I27" s="19" t="s">
        <v>71</v>
      </c>
      <c r="J27" s="24" t="s">
        <v>100</v>
      </c>
      <c r="K27" s="21" t="b">
        <v>1</v>
      </c>
      <c r="L27" s="21">
        <f t="shared" si="3"/>
        <v>0</v>
      </c>
      <c r="M27" s="21">
        <f t="array" ref="M27">IF(H27="","",SUMif(year(N$2:BO$2),M$2,N27:BO27))</f>
        <v>247</v>
      </c>
      <c r="N27" s="22">
        <v>17.0</v>
      </c>
      <c r="O27" s="22">
        <v>20.0</v>
      </c>
      <c r="P27" s="22">
        <v>21.0</v>
      </c>
      <c r="Q27" s="22">
        <v>17.0</v>
      </c>
      <c r="R27" s="22">
        <v>18.0</v>
      </c>
      <c r="S27" s="22">
        <v>9.0</v>
      </c>
      <c r="T27" s="22">
        <v>23.0</v>
      </c>
      <c r="U27" s="22">
        <v>21.0</v>
      </c>
      <c r="V27" s="22">
        <v>22.0</v>
      </c>
      <c r="W27" s="22">
        <v>18.0</v>
      </c>
      <c r="X27" s="22">
        <v>19.0</v>
      </c>
      <c r="Y27" s="22">
        <v>22.0</v>
      </c>
      <c r="Z27" s="22">
        <v>15.0</v>
      </c>
      <c r="AA27" s="22">
        <v>19.0</v>
      </c>
      <c r="AB27" s="22">
        <v>21.0</v>
      </c>
      <c r="AC27" s="22">
        <v>22.0</v>
      </c>
      <c r="AD27" s="22">
        <v>19.0</v>
      </c>
      <c r="AE27" s="22">
        <v>21.0</v>
      </c>
      <c r="AF27" s="22">
        <v>23.0</v>
      </c>
      <c r="AG27" s="22">
        <v>21.0</v>
      </c>
      <c r="AH27" s="22">
        <v>22.0</v>
      </c>
      <c r="AI27" s="22">
        <v>22.0</v>
      </c>
      <c r="AJ27" s="22">
        <v>20.0</v>
      </c>
      <c r="AK27" s="22">
        <v>22.0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</row>
    <row r="28">
      <c r="A28" s="16" t="s">
        <v>27</v>
      </c>
      <c r="B28" s="16" t="s">
        <v>101</v>
      </c>
      <c r="C28" s="17" t="s">
        <v>18</v>
      </c>
      <c r="D28" s="17" t="s">
        <v>29</v>
      </c>
      <c r="E28" s="17" t="s">
        <v>96</v>
      </c>
      <c r="F28" s="17" t="s">
        <v>97</v>
      </c>
      <c r="G28" s="17" t="s">
        <v>98</v>
      </c>
      <c r="H28" s="25" t="s">
        <v>98</v>
      </c>
      <c r="I28" s="19" t="s">
        <v>71</v>
      </c>
      <c r="J28" s="24" t="s">
        <v>102</v>
      </c>
      <c r="K28" s="21" t="b">
        <f t="shared" ref="K28:K53" si="4">if(H28="","",NOT(ISNA(VLOOKUP(J28,'Команда'!G:G,1,false))))</f>
        <v>1</v>
      </c>
      <c r="L28" s="21">
        <f t="shared" si="3"/>
        <v>0</v>
      </c>
      <c r="M28" s="21">
        <f t="array" ref="M28">IF(H28="","",SUMif(year(N$2:BO$2),M$2,N28:BO28))</f>
        <v>247</v>
      </c>
      <c r="N28" s="22">
        <v>17.0</v>
      </c>
      <c r="O28" s="22">
        <v>20.0</v>
      </c>
      <c r="P28" s="22">
        <v>21.0</v>
      </c>
      <c r="Q28" s="22">
        <v>22.0</v>
      </c>
      <c r="R28" s="22">
        <v>18.0</v>
      </c>
      <c r="S28" s="22">
        <v>14.0</v>
      </c>
      <c r="T28" s="22">
        <v>23.0</v>
      </c>
      <c r="U28" s="22">
        <v>21.0</v>
      </c>
      <c r="V28" s="22">
        <v>12.0</v>
      </c>
      <c r="W28" s="22">
        <v>18.0</v>
      </c>
      <c r="X28" s="22">
        <v>17.0</v>
      </c>
      <c r="Y28" s="22">
        <v>22.0</v>
      </c>
      <c r="Z28" s="22">
        <v>15.0</v>
      </c>
      <c r="AA28" s="22">
        <v>19.0</v>
      </c>
      <c r="AB28" s="22">
        <v>21.0</v>
      </c>
      <c r="AC28" s="22">
        <v>22.0</v>
      </c>
      <c r="AD28" s="22">
        <v>19.0</v>
      </c>
      <c r="AE28" s="22">
        <v>21.0</v>
      </c>
      <c r="AF28" s="22">
        <v>23.0</v>
      </c>
      <c r="AG28" s="22">
        <v>21.0</v>
      </c>
      <c r="AH28" s="22">
        <v>22.0</v>
      </c>
      <c r="AI28" s="22">
        <v>22.0</v>
      </c>
      <c r="AJ28" s="22">
        <v>20.0</v>
      </c>
      <c r="AK28" s="22">
        <v>22.0</v>
      </c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</row>
    <row r="29">
      <c r="A29" s="16" t="s">
        <v>16</v>
      </c>
      <c r="B29" s="16" t="s">
        <v>103</v>
      </c>
      <c r="C29" s="17" t="s">
        <v>18</v>
      </c>
      <c r="D29" s="17" t="s">
        <v>19</v>
      </c>
      <c r="E29" s="17" t="s">
        <v>54</v>
      </c>
      <c r="F29" s="17" t="s">
        <v>55</v>
      </c>
      <c r="G29" s="17" t="s">
        <v>56</v>
      </c>
      <c r="H29" s="25" t="s">
        <v>56</v>
      </c>
      <c r="I29" s="19" t="s">
        <v>57</v>
      </c>
      <c r="J29" s="24" t="s">
        <v>104</v>
      </c>
      <c r="K29" s="21" t="b">
        <f t="shared" si="4"/>
        <v>1</v>
      </c>
      <c r="L29" s="21">
        <f t="shared" si="3"/>
        <v>0</v>
      </c>
      <c r="M29" s="21">
        <f t="array" ref="M29">IF(H29="","",SUMif(year(N$2:BO$2),M$2,N29:BO29))</f>
        <v>5</v>
      </c>
      <c r="N29" s="22">
        <v>3.0</v>
      </c>
      <c r="O29" s="22">
        <v>3.0</v>
      </c>
      <c r="P29" s="22">
        <v>3.0</v>
      </c>
      <c r="Q29" s="22"/>
      <c r="R29" s="22"/>
      <c r="S29" s="22"/>
      <c r="T29" s="22"/>
      <c r="U29" s="22"/>
      <c r="V29" s="22"/>
      <c r="W29" s="22">
        <v>10.0</v>
      </c>
      <c r="X29" s="22">
        <v>9.0</v>
      </c>
      <c r="Y29" s="22">
        <v>10.0</v>
      </c>
      <c r="Z29" s="22">
        <v>2.0</v>
      </c>
      <c r="AA29" s="22">
        <v>3.0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</row>
    <row r="30">
      <c r="A30" s="16" t="s">
        <v>27</v>
      </c>
      <c r="B30" s="16" t="s">
        <v>105</v>
      </c>
      <c r="C30" s="17" t="s">
        <v>18</v>
      </c>
      <c r="D30" s="17" t="s">
        <v>29</v>
      </c>
      <c r="E30" s="17" t="s">
        <v>46</v>
      </c>
      <c r="F30" s="17" t="s">
        <v>47</v>
      </c>
      <c r="G30" s="17" t="s">
        <v>106</v>
      </c>
      <c r="H30" s="25" t="s">
        <v>106</v>
      </c>
      <c r="I30" s="19" t="s">
        <v>33</v>
      </c>
      <c r="J30" s="20" t="s">
        <v>107</v>
      </c>
      <c r="K30" s="21" t="b">
        <f t="shared" si="4"/>
        <v>1</v>
      </c>
      <c r="L30" s="21">
        <f t="shared" si="3"/>
        <v>0</v>
      </c>
      <c r="M30" s="21">
        <f t="array" ref="M30">IF(H30="","",SUMif(year(N$2:BO$2),M$2,N30:BO30))</f>
        <v>55</v>
      </c>
      <c r="N30" s="22">
        <v>17.0</v>
      </c>
      <c r="O30" s="22">
        <v>19.0</v>
      </c>
      <c r="P30" s="22">
        <v>20.0</v>
      </c>
      <c r="Q30" s="22">
        <v>17.0</v>
      </c>
      <c r="R30" s="22">
        <v>17.0</v>
      </c>
      <c r="S30" s="22">
        <v>19.0</v>
      </c>
      <c r="T30" s="22">
        <v>18.0</v>
      </c>
      <c r="U30" s="22">
        <v>21.0</v>
      </c>
      <c r="V30" s="22">
        <v>22.0</v>
      </c>
      <c r="W30" s="22">
        <v>13.0</v>
      </c>
      <c r="X30" s="22">
        <v>17.0</v>
      </c>
      <c r="Y30" s="22">
        <v>19.0</v>
      </c>
      <c r="Z30" s="22">
        <v>15.0</v>
      </c>
      <c r="AA30" s="22">
        <v>19.0</v>
      </c>
      <c r="AB30" s="22">
        <v>21.0</v>
      </c>
      <c r="AC30" s="22"/>
      <c r="AD30" s="22"/>
      <c r="AE30" s="22"/>
      <c r="AF30" s="22"/>
      <c r="AG30" s="22"/>
      <c r="AH30" s="22"/>
      <c r="AI30" s="22"/>
      <c r="AJ30" s="22"/>
      <c r="AK30" s="22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</row>
    <row r="31">
      <c r="A31" s="16" t="s">
        <v>27</v>
      </c>
      <c r="B31" s="16" t="s">
        <v>108</v>
      </c>
      <c r="C31" s="17" t="s">
        <v>18</v>
      </c>
      <c r="D31" s="17" t="s">
        <v>19</v>
      </c>
      <c r="E31" s="17" t="s">
        <v>109</v>
      </c>
      <c r="F31" s="17" t="s">
        <v>110</v>
      </c>
      <c r="G31" s="17" t="s">
        <v>111</v>
      </c>
      <c r="H31" s="25" t="s">
        <v>111</v>
      </c>
      <c r="I31" s="19" t="s">
        <v>57</v>
      </c>
      <c r="J31" s="24" t="s">
        <v>112</v>
      </c>
      <c r="K31" s="21" t="b">
        <f t="shared" si="4"/>
        <v>1</v>
      </c>
      <c r="L31" s="21">
        <f t="shared" si="3"/>
        <v>0</v>
      </c>
      <c r="M31" s="21">
        <f t="array" ref="M31">IF(H31="","",SUMif(year(N$2:BO$2),M$2,N31:BO31))</f>
        <v>34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>
        <v>15.0</v>
      </c>
      <c r="AA31" s="22">
        <v>19.0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</row>
    <row r="32">
      <c r="A32" s="16" t="s">
        <v>27</v>
      </c>
      <c r="B32" s="16" t="s">
        <v>28</v>
      </c>
      <c r="C32" s="17" t="s">
        <v>18</v>
      </c>
      <c r="D32" s="17" t="s">
        <v>29</v>
      </c>
      <c r="E32" s="17" t="s">
        <v>113</v>
      </c>
      <c r="F32" s="17" t="s">
        <v>114</v>
      </c>
      <c r="G32" s="17" t="s">
        <v>115</v>
      </c>
      <c r="H32" s="27" t="s">
        <v>115</v>
      </c>
      <c r="I32" s="19" t="s">
        <v>65</v>
      </c>
      <c r="J32" s="24" t="s">
        <v>116</v>
      </c>
      <c r="K32" s="21" t="b">
        <f t="shared" si="4"/>
        <v>1</v>
      </c>
      <c r="L32" s="21">
        <f t="shared" si="3"/>
        <v>0</v>
      </c>
      <c r="M32" s="21">
        <f t="array" ref="M32">IF(H32="","",SUMif(year(N$2:BO$2),M$2,N32:BO32))</f>
        <v>34</v>
      </c>
      <c r="N32" s="22">
        <v>16.99</v>
      </c>
      <c r="O32" s="22">
        <v>13.8</v>
      </c>
      <c r="P32" s="22">
        <v>19.71</v>
      </c>
      <c r="Q32" s="22">
        <v>22.0</v>
      </c>
      <c r="R32" s="22">
        <v>15.0</v>
      </c>
      <c r="S32" s="22">
        <v>18.0</v>
      </c>
      <c r="T32" s="22">
        <v>22.0</v>
      </c>
      <c r="U32" s="22">
        <v>11.0</v>
      </c>
      <c r="V32" s="22">
        <v>20.0</v>
      </c>
      <c r="W32" s="22">
        <v>22.0</v>
      </c>
      <c r="X32" s="22">
        <v>19.0</v>
      </c>
      <c r="Y32" s="22">
        <v>21.0</v>
      </c>
      <c r="Z32" s="22">
        <v>15.0</v>
      </c>
      <c r="AA32" s="22">
        <v>19.0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</row>
    <row r="33">
      <c r="A33" s="16" t="s">
        <v>27</v>
      </c>
      <c r="B33" s="16" t="s">
        <v>117</v>
      </c>
      <c r="C33" s="17" t="s">
        <v>18</v>
      </c>
      <c r="D33" s="17" t="s">
        <v>29</v>
      </c>
      <c r="E33" s="17" t="s">
        <v>20</v>
      </c>
      <c r="F33" s="17" t="s">
        <v>118</v>
      </c>
      <c r="G33" s="17" t="s">
        <v>119</v>
      </c>
      <c r="H33" s="18" t="s">
        <v>119</v>
      </c>
      <c r="I33" s="19" t="s">
        <v>33</v>
      </c>
      <c r="J33" s="20" t="s">
        <v>120</v>
      </c>
      <c r="K33" s="21" t="b">
        <f t="shared" si="4"/>
        <v>1</v>
      </c>
      <c r="L33" s="21">
        <f t="shared" si="3"/>
        <v>0</v>
      </c>
      <c r="M33" s="21">
        <f t="array" ref="M33">IF(H33="","",SUMif(year(N$2:BO$2),M$2,N33:BO33))</f>
        <v>0</v>
      </c>
      <c r="N33" s="22">
        <v>19.88</v>
      </c>
      <c r="O33" s="22">
        <v>15.94</v>
      </c>
      <c r="P33" s="22">
        <v>5.6</v>
      </c>
      <c r="Q33" s="22">
        <v>7.0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</row>
    <row r="34">
      <c r="A34" s="16" t="s">
        <v>27</v>
      </c>
      <c r="B34" s="16" t="s">
        <v>121</v>
      </c>
      <c r="C34" s="17" t="s">
        <v>18</v>
      </c>
      <c r="D34" s="17" t="s">
        <v>19</v>
      </c>
      <c r="E34" s="17" t="s">
        <v>20</v>
      </c>
      <c r="F34" s="17" t="s">
        <v>21</v>
      </c>
      <c r="G34" s="17" t="s">
        <v>22</v>
      </c>
      <c r="H34" s="18" t="s">
        <v>22</v>
      </c>
      <c r="I34" s="19" t="s">
        <v>23</v>
      </c>
      <c r="J34" s="20" t="s">
        <v>122</v>
      </c>
      <c r="K34" s="21" t="b">
        <f t="shared" si="4"/>
        <v>1</v>
      </c>
      <c r="L34" s="21">
        <f t="shared" si="3"/>
        <v>0</v>
      </c>
      <c r="M34" s="21">
        <f t="array" ref="M34">IF(H34="","",SUMif(year(N$2:BO$2),M$2,N34:BO34))</f>
        <v>0</v>
      </c>
      <c r="N34" s="22">
        <v>7.0</v>
      </c>
      <c r="O34" s="22">
        <v>6.4</v>
      </c>
      <c r="P34" s="22">
        <v>4.6</v>
      </c>
      <c r="Q34" s="22">
        <v>0.7</v>
      </c>
      <c r="R34" s="22"/>
      <c r="S34" s="22">
        <v>4.2</v>
      </c>
      <c r="T34" s="22">
        <v>20.2</v>
      </c>
      <c r="U34" s="22">
        <v>8.4</v>
      </c>
      <c r="V34" s="22">
        <v>9.7</v>
      </c>
      <c r="W34" s="22">
        <v>11.5</v>
      </c>
      <c r="X34" s="22">
        <v>9.5</v>
      </c>
      <c r="Y34" s="22">
        <v>11.0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</row>
    <row r="35">
      <c r="A35" s="16" t="s">
        <v>27</v>
      </c>
      <c r="B35" s="16" t="s">
        <v>123</v>
      </c>
      <c r="C35" s="17" t="s">
        <v>18</v>
      </c>
      <c r="D35" s="17" t="s">
        <v>29</v>
      </c>
      <c r="E35" s="17" t="s">
        <v>90</v>
      </c>
      <c r="F35" s="17" t="s">
        <v>91</v>
      </c>
      <c r="G35" s="17" t="s">
        <v>124</v>
      </c>
      <c r="H35" s="25" t="s">
        <v>124</v>
      </c>
      <c r="I35" s="19" t="s">
        <v>33</v>
      </c>
      <c r="J35" s="24" t="s">
        <v>125</v>
      </c>
      <c r="K35" s="21" t="b">
        <f t="shared" si="4"/>
        <v>1</v>
      </c>
      <c r="L35" s="21">
        <f t="shared" si="3"/>
        <v>0</v>
      </c>
      <c r="M35" s="21">
        <f t="array" ref="M35">IF(H35="","",SUMif(year(N$2:BO$2),M$2,N35:BO35))</f>
        <v>55</v>
      </c>
      <c r="N35" s="22"/>
      <c r="O35" s="22"/>
      <c r="P35" s="22"/>
      <c r="Q35" s="22"/>
      <c r="R35" s="22"/>
      <c r="S35" s="22"/>
      <c r="T35" s="22"/>
      <c r="U35" s="22"/>
      <c r="V35" s="22">
        <v>12.0</v>
      </c>
      <c r="W35" s="22">
        <v>23.0</v>
      </c>
      <c r="X35" s="22">
        <v>19.0</v>
      </c>
      <c r="Y35" s="22">
        <v>22.0</v>
      </c>
      <c r="Z35" s="22">
        <v>15.0</v>
      </c>
      <c r="AA35" s="22">
        <v>19.0</v>
      </c>
      <c r="AB35" s="22">
        <v>21.0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</row>
    <row r="36">
      <c r="A36" s="16" t="s">
        <v>27</v>
      </c>
      <c r="B36" s="16" t="s">
        <v>28</v>
      </c>
      <c r="C36" s="17" t="s">
        <v>18</v>
      </c>
      <c r="D36" s="17" t="s">
        <v>29</v>
      </c>
      <c r="E36" s="17" t="s">
        <v>126</v>
      </c>
      <c r="F36" s="17" t="s">
        <v>127</v>
      </c>
      <c r="G36" s="17" t="s">
        <v>128</v>
      </c>
      <c r="H36" s="25" t="s">
        <v>128</v>
      </c>
      <c r="I36" s="19" t="s">
        <v>65</v>
      </c>
      <c r="J36" s="24" t="s">
        <v>129</v>
      </c>
      <c r="K36" s="21" t="b">
        <f t="shared" si="4"/>
        <v>1</v>
      </c>
      <c r="L36" s="21">
        <f t="shared" si="3"/>
        <v>0</v>
      </c>
      <c r="M36" s="21">
        <f t="array" ref="M36">IF(H36="","",SUMif(year(N$2:BO$2),M$2,N36:BO36))</f>
        <v>34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>
        <v>15.0</v>
      </c>
      <c r="AA36" s="22">
        <v>19.0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</row>
    <row r="37">
      <c r="A37" s="16" t="s">
        <v>16</v>
      </c>
      <c r="B37" s="16" t="s">
        <v>28</v>
      </c>
      <c r="C37" s="17" t="s">
        <v>18</v>
      </c>
      <c r="D37" s="17" t="s">
        <v>19</v>
      </c>
      <c r="E37" s="17" t="s">
        <v>54</v>
      </c>
      <c r="F37" s="17" t="s">
        <v>55</v>
      </c>
      <c r="G37" s="17" t="s">
        <v>56</v>
      </c>
      <c r="H37" s="25" t="s">
        <v>56</v>
      </c>
      <c r="I37" s="19" t="s">
        <v>57</v>
      </c>
      <c r="J37" s="24" t="s">
        <v>130</v>
      </c>
      <c r="K37" s="21" t="b">
        <f t="shared" si="4"/>
        <v>1</v>
      </c>
      <c r="L37" s="21">
        <f t="shared" si="3"/>
        <v>0</v>
      </c>
      <c r="M37" s="21">
        <f t="array" ref="M37">IF(H37="","",SUMif(year(N$2:BO$2),M$2,N37:BO37))</f>
        <v>44</v>
      </c>
      <c r="N37" s="22">
        <v>17.0</v>
      </c>
      <c r="O37" s="22">
        <v>20.0</v>
      </c>
      <c r="P37" s="22">
        <v>21.0</v>
      </c>
      <c r="Q37" s="22">
        <v>22.0</v>
      </c>
      <c r="R37" s="22">
        <v>18.0</v>
      </c>
      <c r="S37" s="22"/>
      <c r="T37" s="22"/>
      <c r="U37" s="22"/>
      <c r="V37" s="22"/>
      <c r="W37" s="22">
        <v>23.0</v>
      </c>
      <c r="X37" s="22">
        <v>19.0</v>
      </c>
      <c r="Y37" s="22">
        <v>22.0</v>
      </c>
      <c r="Z37" s="22">
        <v>15.0</v>
      </c>
      <c r="AA37" s="22">
        <v>19.0</v>
      </c>
      <c r="AB37" s="22">
        <v>5.0</v>
      </c>
      <c r="AC37" s="22">
        <v>5.0</v>
      </c>
      <c r="AD37" s="22"/>
      <c r="AE37" s="22"/>
      <c r="AF37" s="22"/>
      <c r="AG37" s="22"/>
      <c r="AH37" s="22"/>
      <c r="AI37" s="22"/>
      <c r="AJ37" s="22"/>
      <c r="AK37" s="22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</row>
    <row r="38">
      <c r="A38" s="16" t="s">
        <v>16</v>
      </c>
      <c r="B38" s="16" t="s">
        <v>17</v>
      </c>
      <c r="C38" s="17" t="s">
        <v>18</v>
      </c>
      <c r="D38" s="17" t="s">
        <v>19</v>
      </c>
      <c r="E38" s="17" t="s">
        <v>20</v>
      </c>
      <c r="F38" s="17" t="s">
        <v>42</v>
      </c>
      <c r="G38" s="17" t="s">
        <v>43</v>
      </c>
      <c r="H38" s="25" t="s">
        <v>43</v>
      </c>
      <c r="I38" s="19" t="s">
        <v>23</v>
      </c>
      <c r="J38" s="24" t="s">
        <v>131</v>
      </c>
      <c r="K38" s="21" t="b">
        <f t="shared" si="4"/>
        <v>1</v>
      </c>
      <c r="L38" s="21">
        <f t="shared" si="3"/>
        <v>0</v>
      </c>
      <c r="M38" s="21">
        <f t="array" ref="M38">IF(H38="","",SUMif(year(N$2:BO$2),M$2,N38:BO38))</f>
        <v>0</v>
      </c>
      <c r="N38" s="22">
        <v>12.6</v>
      </c>
      <c r="O38" s="22">
        <v>14.0</v>
      </c>
      <c r="P38" s="22">
        <v>13.2</v>
      </c>
      <c r="Q38" s="22">
        <v>20.0</v>
      </c>
      <c r="R38" s="22">
        <v>15.0</v>
      </c>
      <c r="S38" s="22">
        <v>14.0</v>
      </c>
      <c r="T38" s="22">
        <v>18.6</v>
      </c>
      <c r="U38" s="22">
        <v>18.9</v>
      </c>
      <c r="V38" s="22">
        <v>15.4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</row>
    <row r="39">
      <c r="A39" s="16" t="s">
        <v>27</v>
      </c>
      <c r="B39" s="16" t="s">
        <v>87</v>
      </c>
      <c r="C39" s="17" t="s">
        <v>18</v>
      </c>
      <c r="D39" s="17" t="s">
        <v>19</v>
      </c>
      <c r="E39" s="17" t="s">
        <v>20</v>
      </c>
      <c r="F39" s="17" t="s">
        <v>42</v>
      </c>
      <c r="G39" s="17" t="s">
        <v>43</v>
      </c>
      <c r="H39" s="25" t="s">
        <v>43</v>
      </c>
      <c r="I39" s="19" t="s">
        <v>23</v>
      </c>
      <c r="J39" s="24" t="s">
        <v>132</v>
      </c>
      <c r="K39" s="21" t="b">
        <f t="shared" si="4"/>
        <v>1</v>
      </c>
      <c r="L39" s="21">
        <f t="shared" si="3"/>
        <v>0</v>
      </c>
      <c r="M39" s="21">
        <f t="array" ref="M39">IF(H39="","",SUMif(year(N$2:BO$2),M$2,N39:BO39))</f>
        <v>0</v>
      </c>
      <c r="N39" s="22">
        <v>14.38</v>
      </c>
      <c r="O39" s="22">
        <v>19.31</v>
      </c>
      <c r="P39" s="22">
        <v>13.31</v>
      </c>
      <c r="Q39" s="22">
        <v>20.2</v>
      </c>
      <c r="R39" s="22">
        <v>14.4</v>
      </c>
      <c r="S39" s="22">
        <v>15.4</v>
      </c>
      <c r="T39" s="22">
        <v>2.8</v>
      </c>
      <c r="U39" s="22">
        <v>3.6</v>
      </c>
      <c r="V39" s="22">
        <v>15.4</v>
      </c>
      <c r="W39" s="22">
        <v>23.0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</row>
    <row r="40">
      <c r="A40" s="16" t="s">
        <v>133</v>
      </c>
      <c r="B40" s="16" t="s">
        <v>134</v>
      </c>
      <c r="C40" s="17" t="s">
        <v>133</v>
      </c>
      <c r="D40" s="17" t="s">
        <v>29</v>
      </c>
      <c r="E40" s="17" t="s">
        <v>126</v>
      </c>
      <c r="F40" s="17" t="s">
        <v>127</v>
      </c>
      <c r="G40" s="17" t="s">
        <v>128</v>
      </c>
      <c r="H40" s="18" t="s">
        <v>128</v>
      </c>
      <c r="I40" s="19" t="s">
        <v>65</v>
      </c>
      <c r="J40" s="20" t="s">
        <v>135</v>
      </c>
      <c r="K40" s="21" t="b">
        <f t="shared" si="4"/>
        <v>1</v>
      </c>
      <c r="L40" s="21">
        <f t="shared" si="3"/>
        <v>0</v>
      </c>
      <c r="M40" s="21">
        <f t="array" ref="M40">IF(H40="","",SUMif(year(N$2:BO$2),M$2,N40:BO40))</f>
        <v>0</v>
      </c>
      <c r="N40" s="22">
        <v>1.64</v>
      </c>
      <c r="O40" s="22">
        <v>8.42</v>
      </c>
      <c r="P40" s="22">
        <v>5.97</v>
      </c>
      <c r="Q40" s="22">
        <v>3.5</v>
      </c>
      <c r="R40" s="22">
        <v>1.0</v>
      </c>
      <c r="S40" s="22">
        <v>1.38</v>
      </c>
      <c r="T40" s="22"/>
      <c r="U40" s="22">
        <v>3.64</v>
      </c>
      <c r="V40" s="22">
        <v>1.0</v>
      </c>
      <c r="W40" s="22">
        <v>1.0</v>
      </c>
      <c r="X40" s="22">
        <v>1.0</v>
      </c>
      <c r="Y40" s="22">
        <v>1.0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</row>
    <row r="41">
      <c r="A41" s="16" t="s">
        <v>16</v>
      </c>
      <c r="B41" s="16" t="s">
        <v>17</v>
      </c>
      <c r="C41" s="17" t="s">
        <v>18</v>
      </c>
      <c r="D41" s="17" t="s">
        <v>19</v>
      </c>
      <c r="E41" s="17" t="s">
        <v>20</v>
      </c>
      <c r="F41" s="17" t="s">
        <v>21</v>
      </c>
      <c r="G41" s="17" t="s">
        <v>22</v>
      </c>
      <c r="H41" s="18" t="s">
        <v>22</v>
      </c>
      <c r="I41" s="19" t="s">
        <v>23</v>
      </c>
      <c r="J41" s="24" t="s">
        <v>131</v>
      </c>
      <c r="K41" s="21" t="b">
        <f t="shared" si="4"/>
        <v>1</v>
      </c>
      <c r="L41" s="21">
        <f t="shared" si="3"/>
        <v>0</v>
      </c>
      <c r="M41" s="21">
        <f t="array" ref="M41">IF(H41="","",SUMif(year(N$2:BO$2),M$2,N41:BO41))</f>
        <v>0</v>
      </c>
      <c r="N41" s="22"/>
      <c r="O41" s="22"/>
      <c r="P41" s="22">
        <v>1.5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</row>
    <row r="42">
      <c r="A42" s="16" t="s">
        <v>27</v>
      </c>
      <c r="B42" s="16" t="s">
        <v>60</v>
      </c>
      <c r="C42" s="17" t="s">
        <v>18</v>
      </c>
      <c r="D42" s="17" t="s">
        <v>19</v>
      </c>
      <c r="E42" s="17" t="s">
        <v>54</v>
      </c>
      <c r="F42" s="17" t="s">
        <v>55</v>
      </c>
      <c r="G42" s="17" t="s">
        <v>56</v>
      </c>
      <c r="H42" s="25" t="s">
        <v>56</v>
      </c>
      <c r="I42" s="19" t="s">
        <v>57</v>
      </c>
      <c r="J42" s="24" t="s">
        <v>136</v>
      </c>
      <c r="K42" s="21" t="b">
        <f t="shared" si="4"/>
        <v>1</v>
      </c>
      <c r="L42" s="21">
        <f t="shared" si="3"/>
        <v>0</v>
      </c>
      <c r="M42" s="21">
        <f t="array" ref="M42">IF(H42="","",SUMif(year(N$2:BO$2),M$2,N42:BO42))</f>
        <v>28</v>
      </c>
      <c r="N42" s="22">
        <v>2.0</v>
      </c>
      <c r="O42" s="22">
        <v>5.0</v>
      </c>
      <c r="P42" s="22">
        <v>6.0</v>
      </c>
      <c r="Q42" s="22">
        <v>7.0</v>
      </c>
      <c r="R42" s="22">
        <v>6.0</v>
      </c>
      <c r="S42" s="22">
        <v>7.0</v>
      </c>
      <c r="T42" s="22">
        <v>12.0</v>
      </c>
      <c r="U42" s="22">
        <v>10.0</v>
      </c>
      <c r="V42" s="22">
        <v>11.0</v>
      </c>
      <c r="W42" s="22">
        <v>12.0</v>
      </c>
      <c r="X42" s="22">
        <v>11.0</v>
      </c>
      <c r="Y42" s="22">
        <v>11.0</v>
      </c>
      <c r="Z42" s="22">
        <v>8.0</v>
      </c>
      <c r="AA42" s="22">
        <v>10.0</v>
      </c>
      <c r="AB42" s="22">
        <v>5.0</v>
      </c>
      <c r="AC42" s="22">
        <v>5.0</v>
      </c>
      <c r="AD42" s="22"/>
      <c r="AE42" s="22"/>
      <c r="AF42" s="22"/>
      <c r="AG42" s="22"/>
      <c r="AH42" s="22"/>
      <c r="AI42" s="22"/>
      <c r="AJ42" s="22"/>
      <c r="AK42" s="22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</row>
    <row r="43">
      <c r="A43" s="16" t="s">
        <v>133</v>
      </c>
      <c r="B43" s="16" t="s">
        <v>134</v>
      </c>
      <c r="C43" s="17" t="s">
        <v>133</v>
      </c>
      <c r="D43" s="17" t="s">
        <v>29</v>
      </c>
      <c r="E43" s="17" t="s">
        <v>68</v>
      </c>
      <c r="F43" s="17" t="s">
        <v>69</v>
      </c>
      <c r="G43" s="17" t="s">
        <v>70</v>
      </c>
      <c r="H43" s="25" t="s">
        <v>70</v>
      </c>
      <c r="I43" s="19" t="s">
        <v>65</v>
      </c>
      <c r="J43" s="24" t="s">
        <v>135</v>
      </c>
      <c r="K43" s="21" t="b">
        <f t="shared" si="4"/>
        <v>1</v>
      </c>
      <c r="L43" s="21">
        <f t="shared" si="3"/>
        <v>0</v>
      </c>
      <c r="M43" s="21">
        <f t="array" ref="M43">IF(H43="","",SUMif(year(N$2:BO$2),M$2,N43:BO43))</f>
        <v>15</v>
      </c>
      <c r="N43" s="22" t="str">
        <f t="shared" ref="N43:V43" si="5">N1*0.34</f>
        <v>#REF!</v>
      </c>
      <c r="O43" s="22" t="str">
        <f t="shared" si="5"/>
        <v>#REF!</v>
      </c>
      <c r="P43" s="22" t="str">
        <f t="shared" si="5"/>
        <v>#REF!</v>
      </c>
      <c r="Q43" s="22" t="str">
        <f t="shared" si="5"/>
        <v>#REF!</v>
      </c>
      <c r="R43" s="22" t="str">
        <f t="shared" si="5"/>
        <v>#REF!</v>
      </c>
      <c r="S43" s="22" t="str">
        <f t="shared" si="5"/>
        <v>#REF!</v>
      </c>
      <c r="T43" s="22" t="str">
        <f t="shared" si="5"/>
        <v>#REF!</v>
      </c>
      <c r="U43" s="22" t="str">
        <f t="shared" si="5"/>
        <v>#REF!</v>
      </c>
      <c r="V43" s="22" t="str">
        <f t="shared" si="5"/>
        <v>#REF!</v>
      </c>
      <c r="W43" s="22">
        <v>11.0</v>
      </c>
      <c r="X43" s="22">
        <v>15.0</v>
      </c>
      <c r="Y43" s="22">
        <v>17.0</v>
      </c>
      <c r="Z43" s="22">
        <v>15.0</v>
      </c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</row>
    <row r="44">
      <c r="A44" s="16" t="s">
        <v>133</v>
      </c>
      <c r="B44" s="16" t="s">
        <v>134</v>
      </c>
      <c r="C44" s="17" t="s">
        <v>133</v>
      </c>
      <c r="D44" s="17" t="s">
        <v>29</v>
      </c>
      <c r="E44" s="17" t="s">
        <v>137</v>
      </c>
      <c r="F44" s="17" t="s">
        <v>138</v>
      </c>
      <c r="G44" s="17" t="s">
        <v>139</v>
      </c>
      <c r="H44" s="25" t="s">
        <v>140</v>
      </c>
      <c r="I44" s="19" t="s">
        <v>65</v>
      </c>
      <c r="J44" s="24" t="s">
        <v>135</v>
      </c>
      <c r="K44" s="21" t="b">
        <f t="shared" si="4"/>
        <v>1</v>
      </c>
      <c r="L44" s="21">
        <f t="shared" si="3"/>
        <v>0</v>
      </c>
      <c r="M44" s="21">
        <f t="array" ref="M44">IF(H44="","",SUMif(year(N$2:BO$2),M$2,N44:BO44))</f>
        <v>0</v>
      </c>
      <c r="N44" s="22" t="str">
        <f t="shared" ref="N44:Y44" si="6">N1*0.33</f>
        <v>#REF!</v>
      </c>
      <c r="O44" s="22" t="str">
        <f t="shared" si="6"/>
        <v>#REF!</v>
      </c>
      <c r="P44" s="22" t="str">
        <f t="shared" si="6"/>
        <v>#REF!</v>
      </c>
      <c r="Q44" s="22" t="str">
        <f t="shared" si="6"/>
        <v>#REF!</v>
      </c>
      <c r="R44" s="22" t="str">
        <f t="shared" si="6"/>
        <v>#REF!</v>
      </c>
      <c r="S44" s="22" t="str">
        <f t="shared" si="6"/>
        <v>#REF!</v>
      </c>
      <c r="T44" s="22" t="str">
        <f t="shared" si="6"/>
        <v>#REF!</v>
      </c>
      <c r="U44" s="22" t="str">
        <f t="shared" si="6"/>
        <v>#REF!</v>
      </c>
      <c r="V44" s="22" t="str">
        <f t="shared" si="6"/>
        <v>#REF!</v>
      </c>
      <c r="W44" s="22" t="str">
        <f t="shared" si="6"/>
        <v>#REF!</v>
      </c>
      <c r="X44" s="22" t="str">
        <f t="shared" si="6"/>
        <v>#REF!</v>
      </c>
      <c r="Y44" s="22" t="str">
        <f t="shared" si="6"/>
        <v>#REF!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</row>
    <row r="45">
      <c r="A45" s="16" t="s">
        <v>27</v>
      </c>
      <c r="B45" s="16" t="s">
        <v>141</v>
      </c>
      <c r="C45" s="17" t="s">
        <v>18</v>
      </c>
      <c r="D45" s="17" t="s">
        <v>29</v>
      </c>
      <c r="E45" s="17" t="s">
        <v>46</v>
      </c>
      <c r="F45" s="17" t="s">
        <v>47</v>
      </c>
      <c r="G45" s="17" t="s">
        <v>50</v>
      </c>
      <c r="H45" s="25" t="s">
        <v>50</v>
      </c>
      <c r="I45" s="19" t="s">
        <v>33</v>
      </c>
      <c r="J45" s="24" t="s">
        <v>142</v>
      </c>
      <c r="K45" s="21" t="b">
        <f t="shared" si="4"/>
        <v>1</v>
      </c>
      <c r="L45" s="21">
        <f t="shared" si="3"/>
        <v>0</v>
      </c>
      <c r="M45" s="21">
        <f t="array" ref="M45">IF(H45="","",SUMif(year(N$2:BO$2),M$2,N45:BO45))</f>
        <v>55</v>
      </c>
      <c r="N45" s="22">
        <v>17.0</v>
      </c>
      <c r="O45" s="22">
        <v>19.0</v>
      </c>
      <c r="P45" s="22">
        <v>21.0</v>
      </c>
      <c r="Q45" s="22">
        <v>22.0</v>
      </c>
      <c r="R45" s="22">
        <v>18.0</v>
      </c>
      <c r="S45" s="22">
        <v>9.0</v>
      </c>
      <c r="T45" s="22">
        <v>23.0</v>
      </c>
      <c r="U45" s="22">
        <v>21.0</v>
      </c>
      <c r="V45" s="22">
        <v>22.0</v>
      </c>
      <c r="W45" s="22">
        <v>18.0</v>
      </c>
      <c r="X45" s="22">
        <v>19.0</v>
      </c>
      <c r="Y45" s="22">
        <v>22.0</v>
      </c>
      <c r="Z45" s="22">
        <v>15.0</v>
      </c>
      <c r="AA45" s="22">
        <v>19.0</v>
      </c>
      <c r="AB45" s="22">
        <v>21.0</v>
      </c>
      <c r="AC45" s="22"/>
      <c r="AD45" s="22"/>
      <c r="AE45" s="22"/>
      <c r="AF45" s="22"/>
      <c r="AG45" s="22"/>
      <c r="AH45" s="22"/>
      <c r="AI45" s="22"/>
      <c r="AJ45" s="22"/>
      <c r="AK45" s="22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</row>
    <row r="46">
      <c r="A46" s="16" t="s">
        <v>27</v>
      </c>
      <c r="B46" s="16" t="s">
        <v>143</v>
      </c>
      <c r="C46" s="17" t="s">
        <v>18</v>
      </c>
      <c r="D46" s="17" t="s">
        <v>29</v>
      </c>
      <c r="E46" s="17" t="s">
        <v>96</v>
      </c>
      <c r="F46" s="17" t="s">
        <v>97</v>
      </c>
      <c r="G46" s="17" t="s">
        <v>144</v>
      </c>
      <c r="H46" s="25" t="s">
        <v>144</v>
      </c>
      <c r="I46" s="19" t="s">
        <v>71</v>
      </c>
      <c r="J46" s="24" t="s">
        <v>145</v>
      </c>
      <c r="K46" s="21" t="b">
        <f t="shared" si="4"/>
        <v>1</v>
      </c>
      <c r="L46" s="21">
        <f t="shared" si="3"/>
        <v>0</v>
      </c>
      <c r="M46" s="21">
        <f t="array" ref="M46">IF(H46="","",SUMif(year(N$2:BO$2),M$2,N46:BO46))</f>
        <v>0</v>
      </c>
      <c r="N46" s="22">
        <v>12.0</v>
      </c>
      <c r="O46" s="22">
        <v>20.0</v>
      </c>
      <c r="P46" s="22">
        <v>21.0</v>
      </c>
      <c r="Q46" s="22">
        <v>22.0</v>
      </c>
      <c r="R46" s="22">
        <v>18.0</v>
      </c>
      <c r="S46" s="22">
        <v>13.0</v>
      </c>
      <c r="T46" s="22">
        <v>19.0</v>
      </c>
      <c r="U46" s="22">
        <v>21.0</v>
      </c>
      <c r="V46" s="22">
        <v>17.0</v>
      </c>
      <c r="W46" s="22">
        <v>23.0</v>
      </c>
      <c r="X46" s="22">
        <v>19.0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</row>
    <row r="47">
      <c r="A47" s="16" t="s">
        <v>27</v>
      </c>
      <c r="B47" s="16" t="s">
        <v>60</v>
      </c>
      <c r="C47" s="17" t="s">
        <v>18</v>
      </c>
      <c r="D47" s="17" t="s">
        <v>19</v>
      </c>
      <c r="E47" s="17" t="s">
        <v>36</v>
      </c>
      <c r="F47" s="17" t="s">
        <v>37</v>
      </c>
      <c r="G47" s="17" t="s">
        <v>94</v>
      </c>
      <c r="H47" s="25" t="s">
        <v>94</v>
      </c>
      <c r="I47" s="19" t="s">
        <v>71</v>
      </c>
      <c r="J47" s="24" t="s">
        <v>136</v>
      </c>
      <c r="K47" s="21" t="b">
        <f t="shared" si="4"/>
        <v>1</v>
      </c>
      <c r="L47" s="21">
        <f t="shared" si="3"/>
        <v>0</v>
      </c>
      <c r="M47" s="21">
        <f t="array" ref="M47">IF(H47="","",SUMif(year(N$2:BO$2),M$2,N47:BO47))</f>
        <v>89</v>
      </c>
      <c r="N47" s="22">
        <v>15.0</v>
      </c>
      <c r="O47" s="22">
        <v>15.0</v>
      </c>
      <c r="P47" s="22">
        <v>15.0</v>
      </c>
      <c r="Q47" s="22">
        <v>15.0</v>
      </c>
      <c r="R47" s="22">
        <v>12.0</v>
      </c>
      <c r="S47" s="22">
        <v>12.0</v>
      </c>
      <c r="T47" s="22">
        <v>11.0</v>
      </c>
      <c r="U47" s="22">
        <v>11.0</v>
      </c>
      <c r="V47" s="22">
        <v>11.0</v>
      </c>
      <c r="W47" s="22">
        <v>11.0</v>
      </c>
      <c r="X47" s="22">
        <v>8.0</v>
      </c>
      <c r="Y47" s="22">
        <v>11.0</v>
      </c>
      <c r="Z47" s="22">
        <v>7.0</v>
      </c>
      <c r="AA47" s="22">
        <v>9.0</v>
      </c>
      <c r="AB47" s="22">
        <v>16.0</v>
      </c>
      <c r="AC47" s="22">
        <v>17.0</v>
      </c>
      <c r="AD47" s="22">
        <v>19.0</v>
      </c>
      <c r="AE47" s="22">
        <v>21.0</v>
      </c>
      <c r="AF47" s="22"/>
      <c r="AG47" s="22"/>
      <c r="AH47" s="22"/>
      <c r="AI47" s="22"/>
      <c r="AJ47" s="22"/>
      <c r="AK47" s="22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</row>
    <row r="48">
      <c r="A48" s="16" t="s">
        <v>27</v>
      </c>
      <c r="B48" s="16" t="s">
        <v>35</v>
      </c>
      <c r="C48" s="17" t="s">
        <v>18</v>
      </c>
      <c r="D48" s="17" t="s">
        <v>29</v>
      </c>
      <c r="E48" s="17" t="s">
        <v>46</v>
      </c>
      <c r="F48" s="17" t="s">
        <v>47</v>
      </c>
      <c r="G48" s="17" t="s">
        <v>146</v>
      </c>
      <c r="H48" s="25" t="s">
        <v>147</v>
      </c>
      <c r="I48" s="19" t="s">
        <v>33</v>
      </c>
      <c r="J48" s="24" t="s">
        <v>51</v>
      </c>
      <c r="K48" s="21" t="b">
        <f t="shared" si="4"/>
        <v>1</v>
      </c>
      <c r="L48" s="21">
        <f t="shared" si="3"/>
        <v>0</v>
      </c>
      <c r="M48" s="21">
        <f t="array" ref="M48">IF(H48="","",SUMif(year(N$2:BO$2),M$2,N48:BO48))</f>
        <v>15</v>
      </c>
      <c r="N48" s="22">
        <v>12.0</v>
      </c>
      <c r="O48" s="22">
        <v>20.0</v>
      </c>
      <c r="P48" s="22">
        <v>21.0</v>
      </c>
      <c r="Q48" s="22">
        <v>12.0</v>
      </c>
      <c r="R48" s="22">
        <v>18.0</v>
      </c>
      <c r="S48" s="22">
        <v>19.0</v>
      </c>
      <c r="T48" s="22">
        <v>18.0</v>
      </c>
      <c r="U48" s="22">
        <v>21.0</v>
      </c>
      <c r="V48" s="22">
        <v>22.0</v>
      </c>
      <c r="W48" s="22">
        <v>23.0</v>
      </c>
      <c r="X48" s="22">
        <v>19.0</v>
      </c>
      <c r="Y48" s="22">
        <v>20.0</v>
      </c>
      <c r="Z48" s="22">
        <v>15.0</v>
      </c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</row>
    <row r="49">
      <c r="A49" s="16" t="s">
        <v>27</v>
      </c>
      <c r="B49" s="16" t="s">
        <v>148</v>
      </c>
      <c r="C49" s="17" t="s">
        <v>18</v>
      </c>
      <c r="D49" s="17" t="s">
        <v>29</v>
      </c>
      <c r="E49" s="17" t="s">
        <v>20</v>
      </c>
      <c r="F49" s="17" t="s">
        <v>118</v>
      </c>
      <c r="G49" s="17" t="s">
        <v>119</v>
      </c>
      <c r="H49" s="18" t="s">
        <v>119</v>
      </c>
      <c r="I49" s="19" t="s">
        <v>33</v>
      </c>
      <c r="J49" s="20" t="s">
        <v>149</v>
      </c>
      <c r="K49" s="21" t="b">
        <f t="shared" si="4"/>
        <v>1</v>
      </c>
      <c r="L49" s="21">
        <f t="shared" si="3"/>
        <v>0</v>
      </c>
      <c r="M49" s="21">
        <f t="array" ref="M49">IF(H49="","",SUMif(year(N$2:BO$2),M$2,N49:BO49))</f>
        <v>55</v>
      </c>
      <c r="N49" s="22">
        <v>15.0</v>
      </c>
      <c r="O49" s="22">
        <v>20.0</v>
      </c>
      <c r="P49" s="22">
        <v>20.88</v>
      </c>
      <c r="Q49" s="22">
        <v>22.0</v>
      </c>
      <c r="R49" s="22">
        <v>18.0</v>
      </c>
      <c r="S49" s="22">
        <v>19.0</v>
      </c>
      <c r="T49" s="22">
        <v>23.0</v>
      </c>
      <c r="U49" s="22">
        <v>21.0</v>
      </c>
      <c r="V49" s="22">
        <v>22.0</v>
      </c>
      <c r="W49" s="22">
        <v>23.0</v>
      </c>
      <c r="X49" s="22">
        <v>19.0</v>
      </c>
      <c r="Y49" s="22">
        <v>22.0</v>
      </c>
      <c r="Z49" s="22">
        <v>15.0</v>
      </c>
      <c r="AA49" s="22">
        <v>19.0</v>
      </c>
      <c r="AB49" s="22">
        <v>21.0</v>
      </c>
      <c r="AC49" s="22"/>
      <c r="AD49" s="22"/>
      <c r="AE49" s="22"/>
      <c r="AF49" s="22"/>
      <c r="AG49" s="22"/>
      <c r="AH49" s="22"/>
      <c r="AI49" s="22"/>
      <c r="AJ49" s="22"/>
      <c r="AK49" s="22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</row>
    <row r="50">
      <c r="A50" s="16" t="s">
        <v>27</v>
      </c>
      <c r="B50" s="16" t="s">
        <v>28</v>
      </c>
      <c r="C50" s="17" t="s">
        <v>150</v>
      </c>
      <c r="D50" s="17" t="s">
        <v>29</v>
      </c>
      <c r="E50" s="17" t="s">
        <v>151</v>
      </c>
      <c r="F50" s="17" t="s">
        <v>152</v>
      </c>
      <c r="G50" s="17" t="s">
        <v>153</v>
      </c>
      <c r="H50" s="25" t="s">
        <v>154</v>
      </c>
      <c r="I50" s="19" t="s">
        <v>65</v>
      </c>
      <c r="J50" s="24" t="s">
        <v>155</v>
      </c>
      <c r="K50" s="21" t="b">
        <f t="shared" si="4"/>
        <v>1</v>
      </c>
      <c r="L50" s="21">
        <f t="shared" si="3"/>
        <v>0</v>
      </c>
      <c r="M50" s="21">
        <f t="array" ref="M50">IF(H50="","",SUMif(year(N$2:BO$2),M$2,N50:BO50))</f>
        <v>0</v>
      </c>
      <c r="N50" s="22">
        <v>15.0</v>
      </c>
      <c r="O50" s="22">
        <v>17.0</v>
      </c>
      <c r="P50" s="22">
        <v>21.0</v>
      </c>
      <c r="Q50" s="22">
        <v>4.0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</row>
    <row r="51">
      <c r="A51" s="16" t="s">
        <v>27</v>
      </c>
      <c r="B51" s="16" t="s">
        <v>141</v>
      </c>
      <c r="C51" s="17" t="s">
        <v>156</v>
      </c>
      <c r="D51" s="17" t="s">
        <v>29</v>
      </c>
      <c r="E51" s="17" t="s">
        <v>96</v>
      </c>
      <c r="F51" s="17" t="s">
        <v>97</v>
      </c>
      <c r="G51" s="17" t="s">
        <v>98</v>
      </c>
      <c r="H51" s="25" t="s">
        <v>98</v>
      </c>
      <c r="I51" s="19" t="s">
        <v>71</v>
      </c>
      <c r="J51" s="24" t="s">
        <v>157</v>
      </c>
      <c r="K51" s="21" t="b">
        <f t="shared" si="4"/>
        <v>1</v>
      </c>
      <c r="L51" s="21">
        <f t="shared" si="3"/>
        <v>0</v>
      </c>
      <c r="M51" s="21">
        <f t="array" ref="M51">IF(H51="","",SUMif(year(N$2:BO$2),M$2,N51:BO51))</f>
        <v>0</v>
      </c>
      <c r="N51" s="22">
        <v>17.0</v>
      </c>
      <c r="O51" s="22">
        <v>19.0</v>
      </c>
      <c r="P51" s="22">
        <v>16.0</v>
      </c>
      <c r="Q51" s="22">
        <v>22.0</v>
      </c>
      <c r="R51" s="22">
        <v>18.0</v>
      </c>
      <c r="S51" s="22">
        <v>18.0</v>
      </c>
      <c r="T51" s="22">
        <v>21.0</v>
      </c>
      <c r="U51" s="22">
        <v>6.0</v>
      </c>
      <c r="V51" s="22">
        <v>21.0</v>
      </c>
      <c r="W51" s="22">
        <v>8.0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</row>
    <row r="52">
      <c r="A52" s="16" t="s">
        <v>27</v>
      </c>
      <c r="B52" s="16" t="s">
        <v>28</v>
      </c>
      <c r="C52" s="17" t="s">
        <v>156</v>
      </c>
      <c r="D52" s="17" t="s">
        <v>29</v>
      </c>
      <c r="E52" s="17" t="s">
        <v>96</v>
      </c>
      <c r="F52" s="17" t="s">
        <v>97</v>
      </c>
      <c r="G52" s="17" t="s">
        <v>144</v>
      </c>
      <c r="H52" s="25" t="s">
        <v>144</v>
      </c>
      <c r="I52" s="19" t="s">
        <v>71</v>
      </c>
      <c r="J52" s="24" t="s">
        <v>158</v>
      </c>
      <c r="K52" s="21" t="b">
        <f t="shared" si="4"/>
        <v>1</v>
      </c>
      <c r="L52" s="21">
        <f t="shared" si="3"/>
        <v>0</v>
      </c>
      <c r="M52" s="21">
        <f t="array" ref="M52">IF(H52="","",SUMif(year(N$2:BO$2),M$2,N52:BO52))</f>
        <v>247</v>
      </c>
      <c r="N52" s="22">
        <v>17.0</v>
      </c>
      <c r="O52" s="22">
        <v>20.0</v>
      </c>
      <c r="P52" s="22">
        <v>21.0</v>
      </c>
      <c r="Q52" s="22">
        <v>17.0</v>
      </c>
      <c r="R52" s="22">
        <v>18.0</v>
      </c>
      <c r="S52" s="22">
        <v>19.0</v>
      </c>
      <c r="T52" s="22">
        <v>13.0</v>
      </c>
      <c r="U52" s="22">
        <v>21.0</v>
      </c>
      <c r="V52" s="22">
        <v>22.0</v>
      </c>
      <c r="W52" s="22">
        <v>13.0</v>
      </c>
      <c r="X52" s="22">
        <v>19.0</v>
      </c>
      <c r="Y52" s="22">
        <v>22.0</v>
      </c>
      <c r="Z52" s="22">
        <v>15.0</v>
      </c>
      <c r="AA52" s="22">
        <v>19.0</v>
      </c>
      <c r="AB52" s="22">
        <v>21.0</v>
      </c>
      <c r="AC52" s="22">
        <v>22.0</v>
      </c>
      <c r="AD52" s="22">
        <v>19.0</v>
      </c>
      <c r="AE52" s="22">
        <v>21.0</v>
      </c>
      <c r="AF52" s="22">
        <v>23.0</v>
      </c>
      <c r="AG52" s="22">
        <v>21.0</v>
      </c>
      <c r="AH52" s="22">
        <v>22.0</v>
      </c>
      <c r="AI52" s="22">
        <v>22.0</v>
      </c>
      <c r="AJ52" s="22">
        <v>20.0</v>
      </c>
      <c r="AK52" s="22">
        <v>22.0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</row>
    <row r="53">
      <c r="A53" s="16" t="s">
        <v>27</v>
      </c>
      <c r="B53" s="16" t="s">
        <v>159</v>
      </c>
      <c r="C53" s="17" t="s">
        <v>18</v>
      </c>
      <c r="D53" s="17" t="s">
        <v>29</v>
      </c>
      <c r="E53" s="17" t="s">
        <v>96</v>
      </c>
      <c r="F53" s="17" t="s">
        <v>97</v>
      </c>
      <c r="G53" s="17" t="s">
        <v>98</v>
      </c>
      <c r="H53" s="25" t="s">
        <v>98</v>
      </c>
      <c r="I53" s="19" t="s">
        <v>71</v>
      </c>
      <c r="J53" s="24" t="s">
        <v>160</v>
      </c>
      <c r="K53" s="21" t="b">
        <f t="shared" si="4"/>
        <v>1</v>
      </c>
      <c r="L53" s="21">
        <f t="shared" si="3"/>
        <v>0</v>
      </c>
      <c r="M53" s="21">
        <f t="array" ref="M53">IF(H53="","",SUMif(year(N$2:BO$2),M$2,N53:BO53))</f>
        <v>247</v>
      </c>
      <c r="N53" s="22">
        <v>17.0</v>
      </c>
      <c r="O53" s="22">
        <v>20.0</v>
      </c>
      <c r="P53" s="22">
        <v>15.0</v>
      </c>
      <c r="Q53" s="22">
        <v>18.0</v>
      </c>
      <c r="R53" s="22">
        <v>18.0</v>
      </c>
      <c r="S53" s="22">
        <v>19.0</v>
      </c>
      <c r="T53" s="22">
        <v>13.0</v>
      </c>
      <c r="U53" s="22">
        <v>21.0</v>
      </c>
      <c r="V53" s="22">
        <v>22.0</v>
      </c>
      <c r="W53" s="22">
        <v>23.0</v>
      </c>
      <c r="X53" s="22">
        <v>19.0</v>
      </c>
      <c r="Y53" s="22">
        <v>22.0</v>
      </c>
      <c r="Z53" s="22">
        <v>15.0</v>
      </c>
      <c r="AA53" s="22">
        <v>19.0</v>
      </c>
      <c r="AB53" s="22">
        <v>21.0</v>
      </c>
      <c r="AC53" s="22">
        <v>22.0</v>
      </c>
      <c r="AD53" s="22">
        <v>19.0</v>
      </c>
      <c r="AE53" s="22">
        <v>21.0</v>
      </c>
      <c r="AF53" s="22">
        <v>23.0</v>
      </c>
      <c r="AG53" s="22">
        <v>21.0</v>
      </c>
      <c r="AH53" s="22">
        <v>22.0</v>
      </c>
      <c r="AI53" s="22">
        <v>22.0</v>
      </c>
      <c r="AJ53" s="22">
        <v>20.0</v>
      </c>
      <c r="AK53" s="22">
        <v>22.0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</row>
    <row r="54">
      <c r="A54" s="16" t="s">
        <v>27</v>
      </c>
      <c r="B54" s="16" t="s">
        <v>35</v>
      </c>
      <c r="C54" s="17" t="s">
        <v>156</v>
      </c>
      <c r="D54" s="17" t="s">
        <v>29</v>
      </c>
      <c r="E54" s="17" t="s">
        <v>161</v>
      </c>
      <c r="F54" s="17" t="s">
        <v>162</v>
      </c>
      <c r="G54" s="17" t="s">
        <v>163</v>
      </c>
      <c r="H54" s="25" t="s">
        <v>164</v>
      </c>
      <c r="I54" s="19" t="s">
        <v>65</v>
      </c>
      <c r="J54" s="24" t="s">
        <v>165</v>
      </c>
      <c r="K54" s="21" t="b">
        <v>1</v>
      </c>
      <c r="L54" s="21">
        <f t="shared" si="3"/>
        <v>0</v>
      </c>
      <c r="M54" s="21">
        <f t="array" ref="M54">IF(H54="","",SUMif(year(N$2:BO$2),M$2,N54:BO54))</f>
        <v>10</v>
      </c>
      <c r="N54" s="22"/>
      <c r="O54" s="22"/>
      <c r="P54" s="22"/>
      <c r="Q54" s="22"/>
      <c r="R54" s="22"/>
      <c r="S54" s="22"/>
      <c r="T54" s="22"/>
      <c r="U54" s="22">
        <v>4.0</v>
      </c>
      <c r="V54" s="22">
        <v>21.0</v>
      </c>
      <c r="W54" s="22">
        <v>13.0</v>
      </c>
      <c r="X54" s="22">
        <v>18.0</v>
      </c>
      <c r="Y54" s="22">
        <v>22.0</v>
      </c>
      <c r="Z54" s="22">
        <v>10.0</v>
      </c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</row>
    <row r="55">
      <c r="A55" s="16" t="s">
        <v>27</v>
      </c>
      <c r="B55" s="16" t="s">
        <v>166</v>
      </c>
      <c r="C55" s="17" t="s">
        <v>18</v>
      </c>
      <c r="D55" s="17" t="s">
        <v>29</v>
      </c>
      <c r="E55" s="17" t="s">
        <v>20</v>
      </c>
      <c r="F55" s="17" t="s">
        <v>118</v>
      </c>
      <c r="G55" s="17" t="s">
        <v>119</v>
      </c>
      <c r="H55" s="18" t="s">
        <v>119</v>
      </c>
      <c r="I55" s="19" t="s">
        <v>33</v>
      </c>
      <c r="J55" s="24" t="s">
        <v>167</v>
      </c>
      <c r="K55" s="21" t="b">
        <f t="shared" ref="K55:K68" si="7">if(H55="","",NOT(ISNA(VLOOKUP(J55,'Команда'!G:G,1,false))))</f>
        <v>1</v>
      </c>
      <c r="L55" s="21">
        <f t="shared" si="3"/>
        <v>0</v>
      </c>
      <c r="M55" s="21">
        <f t="array" ref="M55">IF(H55="","",SUMif(year(N$2:BO$2),M$2,N55:BO55))</f>
        <v>0</v>
      </c>
      <c r="N55" s="22">
        <v>16.88</v>
      </c>
      <c r="O55" s="22">
        <v>18.88</v>
      </c>
      <c r="P55" s="22">
        <v>12.88</v>
      </c>
      <c r="Q55" s="22">
        <v>22.0</v>
      </c>
      <c r="R55" s="22">
        <v>18.0</v>
      </c>
      <c r="S55" s="22">
        <v>19.0</v>
      </c>
      <c r="T55" s="22">
        <v>23.0</v>
      </c>
      <c r="U55" s="22">
        <v>21.0</v>
      </c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</row>
    <row r="56">
      <c r="A56" s="16" t="s">
        <v>27</v>
      </c>
      <c r="B56" s="16" t="s">
        <v>28</v>
      </c>
      <c r="C56" s="17" t="s">
        <v>18</v>
      </c>
      <c r="D56" s="17" t="s">
        <v>29</v>
      </c>
      <c r="E56" s="17" t="s">
        <v>90</v>
      </c>
      <c r="F56" s="17" t="s">
        <v>91</v>
      </c>
      <c r="G56" s="17" t="s">
        <v>168</v>
      </c>
      <c r="H56" s="27" t="s">
        <v>168</v>
      </c>
      <c r="I56" s="19" t="s">
        <v>33</v>
      </c>
      <c r="J56" s="24" t="s">
        <v>169</v>
      </c>
      <c r="K56" s="21" t="b">
        <f t="shared" si="7"/>
        <v>1</v>
      </c>
      <c r="L56" s="21">
        <f t="shared" si="3"/>
        <v>0</v>
      </c>
      <c r="M56" s="21">
        <f t="array" ref="M56">IF(H56="","",SUMif(year(N$2:BO$2),M$2,N56:BO56))</f>
        <v>0</v>
      </c>
      <c r="N56" s="22"/>
      <c r="O56" s="22">
        <v>19.0</v>
      </c>
      <c r="P56" s="22">
        <v>21.0</v>
      </c>
      <c r="Q56" s="22">
        <v>22.0</v>
      </c>
      <c r="R56" s="22">
        <v>18.0</v>
      </c>
      <c r="S56" s="22">
        <v>19.0</v>
      </c>
      <c r="T56" s="22">
        <v>4.0</v>
      </c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</row>
    <row r="57">
      <c r="A57" s="16" t="s">
        <v>27</v>
      </c>
      <c r="B57" s="16" t="s">
        <v>35</v>
      </c>
      <c r="C57" s="17" t="s">
        <v>18</v>
      </c>
      <c r="D57" s="17" t="s">
        <v>29</v>
      </c>
      <c r="E57" s="17" t="s">
        <v>46</v>
      </c>
      <c r="F57" s="17" t="s">
        <v>47</v>
      </c>
      <c r="G57" s="17" t="s">
        <v>170</v>
      </c>
      <c r="H57" s="25" t="s">
        <v>170</v>
      </c>
      <c r="I57" s="19" t="s">
        <v>33</v>
      </c>
      <c r="J57" s="24" t="s">
        <v>171</v>
      </c>
      <c r="K57" s="21" t="b">
        <f t="shared" si="7"/>
        <v>1</v>
      </c>
      <c r="L57" s="21">
        <f t="shared" si="3"/>
        <v>0</v>
      </c>
      <c r="M57" s="21">
        <f t="array" ref="M57">IF(H57="","",SUMif(year(N$2:BO$2),M$2,N57:BO57))</f>
        <v>55</v>
      </c>
      <c r="N57" s="22"/>
      <c r="O57" s="22"/>
      <c r="P57" s="22"/>
      <c r="Q57" s="22">
        <v>13.0</v>
      </c>
      <c r="R57" s="22">
        <v>18.0</v>
      </c>
      <c r="S57" s="22">
        <v>19.0</v>
      </c>
      <c r="T57" s="22">
        <v>14.0</v>
      </c>
      <c r="U57" s="22">
        <v>21.0</v>
      </c>
      <c r="V57" s="22">
        <v>22.0</v>
      </c>
      <c r="W57" s="22">
        <v>23.0</v>
      </c>
      <c r="X57" s="22">
        <v>19.0</v>
      </c>
      <c r="Y57" s="22">
        <v>22.0</v>
      </c>
      <c r="Z57" s="22">
        <v>15.0</v>
      </c>
      <c r="AA57" s="22">
        <v>19.0</v>
      </c>
      <c r="AB57" s="22">
        <v>21.0</v>
      </c>
      <c r="AC57" s="22"/>
      <c r="AD57" s="22"/>
      <c r="AE57" s="22"/>
      <c r="AF57" s="22"/>
      <c r="AG57" s="22"/>
      <c r="AH57" s="22"/>
      <c r="AI57" s="22"/>
      <c r="AJ57" s="22"/>
      <c r="AK57" s="22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</row>
    <row r="58">
      <c r="A58" s="16" t="s">
        <v>27</v>
      </c>
      <c r="B58" s="16" t="s">
        <v>45</v>
      </c>
      <c r="C58" s="17" t="s">
        <v>150</v>
      </c>
      <c r="D58" s="17" t="s">
        <v>29</v>
      </c>
      <c r="E58" s="17" t="s">
        <v>30</v>
      </c>
      <c r="F58" s="17" t="s">
        <v>31</v>
      </c>
      <c r="G58" s="17" t="s">
        <v>32</v>
      </c>
      <c r="H58" s="25" t="s">
        <v>32</v>
      </c>
      <c r="I58" s="19" t="s">
        <v>33</v>
      </c>
      <c r="J58" s="24" t="s">
        <v>172</v>
      </c>
      <c r="K58" s="21" t="b">
        <f t="shared" si="7"/>
        <v>1</v>
      </c>
      <c r="L58" s="21">
        <f t="shared" si="3"/>
        <v>0</v>
      </c>
      <c r="M58" s="21">
        <f t="array" ref="M58">IF(H58="","",SUMif(year(N$2:BO$2),M$2,N58:BO58))</f>
        <v>247</v>
      </c>
      <c r="N58" s="22">
        <v>17.0</v>
      </c>
      <c r="O58" s="22">
        <v>20.0</v>
      </c>
      <c r="P58" s="22">
        <v>21.0</v>
      </c>
      <c r="Q58" s="22">
        <v>22.0</v>
      </c>
      <c r="R58" s="22">
        <v>18.0</v>
      </c>
      <c r="S58" s="22">
        <v>19.0</v>
      </c>
      <c r="T58" s="22">
        <v>13.0</v>
      </c>
      <c r="U58" s="22">
        <v>21.0</v>
      </c>
      <c r="V58" s="22">
        <v>22.0</v>
      </c>
      <c r="W58" s="22">
        <v>13.0</v>
      </c>
      <c r="X58" s="22">
        <v>9.0</v>
      </c>
      <c r="Y58" s="22">
        <v>20.0</v>
      </c>
      <c r="Z58" s="22">
        <v>15.0</v>
      </c>
      <c r="AA58" s="22">
        <v>19.0</v>
      </c>
      <c r="AB58" s="22">
        <v>21.0</v>
      </c>
      <c r="AC58" s="22">
        <v>22.0</v>
      </c>
      <c r="AD58" s="22">
        <v>19.0</v>
      </c>
      <c r="AE58" s="22">
        <v>21.0</v>
      </c>
      <c r="AF58" s="22">
        <v>23.0</v>
      </c>
      <c r="AG58" s="22">
        <v>21.0</v>
      </c>
      <c r="AH58" s="22">
        <v>22.0</v>
      </c>
      <c r="AI58" s="22">
        <v>22.0</v>
      </c>
      <c r="AJ58" s="22">
        <v>20.0</v>
      </c>
      <c r="AK58" s="22">
        <v>22.0</v>
      </c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</row>
    <row r="59">
      <c r="A59" s="16" t="s">
        <v>27</v>
      </c>
      <c r="B59" s="16" t="s">
        <v>173</v>
      </c>
      <c r="C59" s="17" t="s">
        <v>18</v>
      </c>
      <c r="D59" s="17" t="s">
        <v>29</v>
      </c>
      <c r="E59" s="17" t="s">
        <v>90</v>
      </c>
      <c r="F59" s="17" t="s">
        <v>91</v>
      </c>
      <c r="G59" s="17" t="s">
        <v>92</v>
      </c>
      <c r="H59" s="25" t="s">
        <v>92</v>
      </c>
      <c r="I59" s="19" t="s">
        <v>33</v>
      </c>
      <c r="J59" s="24" t="s">
        <v>174</v>
      </c>
      <c r="K59" s="21" t="b">
        <f t="shared" si="7"/>
        <v>1</v>
      </c>
      <c r="L59" s="21">
        <f t="shared" si="3"/>
        <v>0</v>
      </c>
      <c r="M59" s="21">
        <f t="array" ref="M59">IF(H59="","",SUMif(year(N$2:BO$2),M$2,N59:BO59))</f>
        <v>0</v>
      </c>
      <c r="N59" s="22">
        <v>17.0</v>
      </c>
      <c r="O59" s="22">
        <v>10.0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</row>
    <row r="60">
      <c r="A60" s="16" t="s">
        <v>27</v>
      </c>
      <c r="B60" s="16" t="s">
        <v>103</v>
      </c>
      <c r="C60" s="17" t="s">
        <v>18</v>
      </c>
      <c r="D60" s="17" t="s">
        <v>19</v>
      </c>
      <c r="E60" s="17" t="s">
        <v>36</v>
      </c>
      <c r="F60" s="17" t="s">
        <v>37</v>
      </c>
      <c r="G60" s="17" t="s">
        <v>38</v>
      </c>
      <c r="H60" s="25" t="s">
        <v>38</v>
      </c>
      <c r="I60" s="19" t="s">
        <v>39</v>
      </c>
      <c r="J60" s="24" t="s">
        <v>175</v>
      </c>
      <c r="K60" s="21" t="b">
        <f t="shared" si="7"/>
        <v>1</v>
      </c>
      <c r="L60" s="21">
        <f t="shared" si="3"/>
        <v>0</v>
      </c>
      <c r="M60" s="21">
        <f t="array" ref="M60">IF(H60="","",SUMif(year(N$2:BO$2),M$2,N60:BO60))</f>
        <v>117</v>
      </c>
      <c r="N60" s="22">
        <v>17.0</v>
      </c>
      <c r="O60" s="22">
        <v>14.0</v>
      </c>
      <c r="P60" s="22">
        <v>21.0</v>
      </c>
      <c r="Q60" s="22">
        <v>22.0</v>
      </c>
      <c r="R60" s="22">
        <v>18.0</v>
      </c>
      <c r="S60" s="22">
        <v>19.0</v>
      </c>
      <c r="T60" s="22">
        <v>23.0</v>
      </c>
      <c r="U60" s="22">
        <v>21.0</v>
      </c>
      <c r="V60" s="22">
        <v>22.0</v>
      </c>
      <c r="W60" s="22">
        <v>23.0</v>
      </c>
      <c r="X60" s="22">
        <v>19.0</v>
      </c>
      <c r="Y60" s="22">
        <v>22.0</v>
      </c>
      <c r="Z60" s="22">
        <v>15.0</v>
      </c>
      <c r="AA60" s="22">
        <v>19.0</v>
      </c>
      <c r="AB60" s="22">
        <v>21.0</v>
      </c>
      <c r="AC60" s="22">
        <v>22.0</v>
      </c>
      <c r="AD60" s="22">
        <v>19.0</v>
      </c>
      <c r="AE60" s="22">
        <v>21.0</v>
      </c>
      <c r="AF60" s="22"/>
      <c r="AG60" s="22"/>
      <c r="AH60" s="22"/>
      <c r="AI60" s="22"/>
      <c r="AJ60" s="22"/>
      <c r="AK60" s="22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</row>
    <row r="61">
      <c r="A61" s="16" t="s">
        <v>16</v>
      </c>
      <c r="B61" s="16" t="s">
        <v>28</v>
      </c>
      <c r="C61" s="17" t="s">
        <v>18</v>
      </c>
      <c r="D61" s="17" t="s">
        <v>29</v>
      </c>
      <c r="E61" s="17" t="s">
        <v>46</v>
      </c>
      <c r="F61" s="17" t="s">
        <v>47</v>
      </c>
      <c r="G61" s="17" t="s">
        <v>176</v>
      </c>
      <c r="H61" s="18" t="s">
        <v>176</v>
      </c>
      <c r="I61" s="19" t="s">
        <v>33</v>
      </c>
      <c r="J61" s="20" t="s">
        <v>177</v>
      </c>
      <c r="K61" s="21" t="b">
        <f t="shared" si="7"/>
        <v>1</v>
      </c>
      <c r="L61" s="21">
        <f t="shared" si="3"/>
        <v>0</v>
      </c>
      <c r="M61" s="21">
        <f t="array" ref="M61">IF(H61="","",SUMif(year(N$2:BO$2),M$2,N61:BO61))</f>
        <v>55</v>
      </c>
      <c r="N61" s="22">
        <v>17.0</v>
      </c>
      <c r="O61" s="22">
        <v>19.0</v>
      </c>
      <c r="P61" s="22">
        <v>21.0</v>
      </c>
      <c r="Q61" s="22">
        <v>22.0</v>
      </c>
      <c r="R61" s="22">
        <v>18.0</v>
      </c>
      <c r="S61" s="22">
        <v>19.0</v>
      </c>
      <c r="T61" s="22">
        <v>23.0</v>
      </c>
      <c r="U61" s="22">
        <v>16.0</v>
      </c>
      <c r="V61" s="22">
        <v>22.0</v>
      </c>
      <c r="W61" s="22">
        <v>13.0</v>
      </c>
      <c r="X61" s="22">
        <v>19.0</v>
      </c>
      <c r="Y61" s="22">
        <v>17.0</v>
      </c>
      <c r="Z61" s="22">
        <v>15.0</v>
      </c>
      <c r="AA61" s="22">
        <v>19.0</v>
      </c>
      <c r="AB61" s="22">
        <v>21.0</v>
      </c>
      <c r="AC61" s="22"/>
      <c r="AD61" s="22"/>
      <c r="AE61" s="22"/>
      <c r="AF61" s="22"/>
      <c r="AG61" s="22"/>
      <c r="AH61" s="22"/>
      <c r="AI61" s="22"/>
      <c r="AJ61" s="22"/>
      <c r="AK61" s="22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</row>
    <row r="62">
      <c r="A62" s="16" t="s">
        <v>16</v>
      </c>
      <c r="B62" s="16" t="s">
        <v>178</v>
      </c>
      <c r="C62" s="17" t="s">
        <v>18</v>
      </c>
      <c r="D62" s="17" t="s">
        <v>29</v>
      </c>
      <c r="E62" s="17" t="s">
        <v>83</v>
      </c>
      <c r="F62" s="17" t="s">
        <v>84</v>
      </c>
      <c r="G62" s="17" t="s">
        <v>85</v>
      </c>
      <c r="H62" s="25" t="s">
        <v>86</v>
      </c>
      <c r="I62" s="19" t="s">
        <v>82</v>
      </c>
      <c r="J62" s="24" t="s">
        <v>179</v>
      </c>
      <c r="K62" s="21" t="b">
        <f t="shared" si="7"/>
        <v>1</v>
      </c>
      <c r="L62" s="21">
        <f t="shared" si="3"/>
        <v>0</v>
      </c>
      <c r="M62" s="21">
        <f t="array" ref="M62">IF(H62="","",SUMif(year(N$2:BO$2),M$2,N62:BO62))</f>
        <v>55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>
        <v>22.0</v>
      </c>
      <c r="Z62" s="28">
        <v>15.0</v>
      </c>
      <c r="AA62" s="29">
        <v>19.0</v>
      </c>
      <c r="AB62" s="30">
        <v>21.0</v>
      </c>
      <c r="AC62" s="22"/>
      <c r="AD62" s="22"/>
      <c r="AE62" s="22"/>
      <c r="AF62" s="22"/>
      <c r="AG62" s="22"/>
      <c r="AH62" s="22"/>
      <c r="AI62" s="22"/>
      <c r="AJ62" s="22"/>
      <c r="AK62" s="22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</row>
    <row r="63">
      <c r="A63" s="16" t="s">
        <v>27</v>
      </c>
      <c r="B63" s="16" t="s">
        <v>180</v>
      </c>
      <c r="C63" s="17" t="s">
        <v>18</v>
      </c>
      <c r="D63" s="17" t="s">
        <v>19</v>
      </c>
      <c r="E63" s="17" t="s">
        <v>36</v>
      </c>
      <c r="F63" s="17" t="s">
        <v>37</v>
      </c>
      <c r="G63" s="17" t="s">
        <v>38</v>
      </c>
      <c r="H63" s="25" t="s">
        <v>38</v>
      </c>
      <c r="I63" s="19" t="s">
        <v>39</v>
      </c>
      <c r="J63" s="24" t="s">
        <v>181</v>
      </c>
      <c r="K63" s="21" t="b">
        <f t="shared" si="7"/>
        <v>1</v>
      </c>
      <c r="L63" s="21">
        <f t="shared" si="3"/>
        <v>0</v>
      </c>
      <c r="M63" s="21">
        <f t="array" ref="M63">IF(H63="","",SUMif(year(N$2:BO$2),M$2,N63:BO63))</f>
        <v>0</v>
      </c>
      <c r="N63" s="22">
        <v>17.0</v>
      </c>
      <c r="O63" s="22">
        <v>20.0</v>
      </c>
      <c r="P63" s="22">
        <v>21.0</v>
      </c>
      <c r="Q63" s="22">
        <v>22.0</v>
      </c>
      <c r="R63" s="22">
        <v>18.0</v>
      </c>
      <c r="S63" s="22">
        <v>19.0</v>
      </c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</row>
    <row r="64">
      <c r="A64" s="16" t="s">
        <v>27</v>
      </c>
      <c r="B64" s="16" t="s">
        <v>180</v>
      </c>
      <c r="C64" s="17" t="s">
        <v>18</v>
      </c>
      <c r="D64" s="17" t="s">
        <v>19</v>
      </c>
      <c r="E64" s="17" t="s">
        <v>36</v>
      </c>
      <c r="F64" s="17" t="s">
        <v>37</v>
      </c>
      <c r="G64" s="17" t="s">
        <v>94</v>
      </c>
      <c r="H64" s="25" t="s">
        <v>94</v>
      </c>
      <c r="I64" s="19" t="s">
        <v>71</v>
      </c>
      <c r="J64" s="24" t="s">
        <v>182</v>
      </c>
      <c r="K64" s="21" t="b">
        <f t="shared" si="7"/>
        <v>1</v>
      </c>
      <c r="L64" s="21">
        <f t="shared" si="3"/>
        <v>0</v>
      </c>
      <c r="M64" s="21">
        <f t="array" ref="M64">IF(H64="","",SUMif(year(N$2:BO$2),M$2,N64:BO64))</f>
        <v>23</v>
      </c>
      <c r="N64" s="22">
        <v>2.0</v>
      </c>
      <c r="O64" s="22">
        <v>3.0</v>
      </c>
      <c r="P64" s="22">
        <v>12.0</v>
      </c>
      <c r="Q64" s="22">
        <v>7.0</v>
      </c>
      <c r="R64" s="22">
        <v>2.0</v>
      </c>
      <c r="S64" s="22"/>
      <c r="T64" s="22"/>
      <c r="U64" s="22"/>
      <c r="V64" s="22"/>
      <c r="W64" s="22"/>
      <c r="X64" s="22"/>
      <c r="Y64" s="22"/>
      <c r="Z64" s="22">
        <v>5.0</v>
      </c>
      <c r="AA64" s="22">
        <v>4.0</v>
      </c>
      <c r="AB64" s="22">
        <v>5.0</v>
      </c>
      <c r="AC64" s="22">
        <v>5.0</v>
      </c>
      <c r="AD64" s="22">
        <v>4.0</v>
      </c>
      <c r="AE64" s="22"/>
      <c r="AF64" s="22"/>
      <c r="AG64" s="22"/>
      <c r="AH64" s="22"/>
      <c r="AI64" s="22"/>
      <c r="AJ64" s="22"/>
      <c r="AK64" s="22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</row>
    <row r="65">
      <c r="A65" s="16" t="s">
        <v>27</v>
      </c>
      <c r="B65" s="16" t="s">
        <v>35</v>
      </c>
      <c r="C65" s="17" t="s">
        <v>18</v>
      </c>
      <c r="D65" s="17" t="s">
        <v>19</v>
      </c>
      <c r="E65" s="17" t="s">
        <v>36</v>
      </c>
      <c r="F65" s="17" t="s">
        <v>37</v>
      </c>
      <c r="G65" s="17" t="s">
        <v>38</v>
      </c>
      <c r="H65" s="25" t="s">
        <v>38</v>
      </c>
      <c r="I65" s="19" t="s">
        <v>39</v>
      </c>
      <c r="J65" s="24" t="s">
        <v>183</v>
      </c>
      <c r="K65" s="21" t="b">
        <f t="shared" si="7"/>
        <v>1</v>
      </c>
      <c r="L65" s="21">
        <f t="shared" si="3"/>
        <v>0</v>
      </c>
      <c r="M65" s="21">
        <f t="array" ref="M65">IF(H65="","",SUMif(year(N$2:BO$2),M$2,N65:BO65))</f>
        <v>117</v>
      </c>
      <c r="N65" s="22">
        <v>17.0</v>
      </c>
      <c r="O65" s="22">
        <v>20.0</v>
      </c>
      <c r="P65" s="22">
        <v>21.0</v>
      </c>
      <c r="Q65" s="22">
        <v>22.0</v>
      </c>
      <c r="R65" s="22">
        <v>18.0</v>
      </c>
      <c r="S65" s="22">
        <v>19.0</v>
      </c>
      <c r="T65" s="22">
        <v>23.0</v>
      </c>
      <c r="U65" s="22">
        <v>21.0</v>
      </c>
      <c r="V65" s="22">
        <v>22.0</v>
      </c>
      <c r="W65" s="22">
        <v>23.0</v>
      </c>
      <c r="X65" s="22">
        <v>19.0</v>
      </c>
      <c r="Y65" s="22">
        <v>22.0</v>
      </c>
      <c r="Z65" s="22">
        <v>15.0</v>
      </c>
      <c r="AA65" s="22">
        <v>19.0</v>
      </c>
      <c r="AB65" s="22">
        <v>21.0</v>
      </c>
      <c r="AC65" s="22">
        <v>22.0</v>
      </c>
      <c r="AD65" s="22">
        <v>19.0</v>
      </c>
      <c r="AE65" s="22">
        <v>21.0</v>
      </c>
      <c r="AF65" s="22"/>
      <c r="AG65" s="22"/>
      <c r="AH65" s="22"/>
      <c r="AI65" s="22"/>
      <c r="AJ65" s="22"/>
      <c r="AK65" s="22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</row>
    <row r="66">
      <c r="A66" s="16" t="s">
        <v>16</v>
      </c>
      <c r="B66" s="16" t="s">
        <v>184</v>
      </c>
      <c r="C66" s="17" t="s">
        <v>18</v>
      </c>
      <c r="D66" s="17" t="s">
        <v>19</v>
      </c>
      <c r="E66" s="17" t="s">
        <v>54</v>
      </c>
      <c r="F66" s="17" t="s">
        <v>55</v>
      </c>
      <c r="G66" s="17" t="s">
        <v>56</v>
      </c>
      <c r="H66" s="25" t="s">
        <v>56</v>
      </c>
      <c r="I66" s="19" t="s">
        <v>57</v>
      </c>
      <c r="J66" s="24" t="s">
        <v>185</v>
      </c>
      <c r="K66" s="21" t="b">
        <f t="shared" si="7"/>
        <v>1</v>
      </c>
      <c r="L66" s="21">
        <f t="shared" si="3"/>
        <v>0</v>
      </c>
      <c r="M66" s="21">
        <f t="array" ref="M66">IF(H66="","",SUMif(year(N$2:BO$2),M$2,N66:BO66))</f>
        <v>0</v>
      </c>
      <c r="N66" s="22">
        <v>17.0</v>
      </c>
      <c r="O66" s="22">
        <v>20.0</v>
      </c>
      <c r="P66" s="22">
        <v>21.0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</row>
    <row r="67">
      <c r="A67" s="16" t="s">
        <v>133</v>
      </c>
      <c r="B67" s="16" t="s">
        <v>35</v>
      </c>
      <c r="C67" s="17" t="s">
        <v>133</v>
      </c>
      <c r="D67" s="17" t="s">
        <v>29</v>
      </c>
      <c r="E67" s="17" t="s">
        <v>151</v>
      </c>
      <c r="F67" s="17" t="s">
        <v>152</v>
      </c>
      <c r="G67" s="17" t="s">
        <v>153</v>
      </c>
      <c r="H67" s="25" t="s">
        <v>154</v>
      </c>
      <c r="I67" s="19" t="s">
        <v>65</v>
      </c>
      <c r="J67" s="20" t="s">
        <v>186</v>
      </c>
      <c r="K67" s="21" t="b">
        <f t="shared" si="7"/>
        <v>1</v>
      </c>
      <c r="L67" s="21">
        <f t="shared" si="3"/>
        <v>0</v>
      </c>
      <c r="M67" s="21">
        <f t="array" ref="M67">IF(H67="","",SUMif(year(N$2:BO$2),M$2,N67:BO67))</f>
        <v>15</v>
      </c>
      <c r="N67" s="22">
        <v>16.0</v>
      </c>
      <c r="O67" s="22">
        <v>14.0</v>
      </c>
      <c r="P67" s="22">
        <v>21.0</v>
      </c>
      <c r="Q67" s="22">
        <v>20.0</v>
      </c>
      <c r="R67" s="22">
        <v>17.0</v>
      </c>
      <c r="S67" s="22">
        <v>19.0</v>
      </c>
      <c r="T67" s="22">
        <v>23.0</v>
      </c>
      <c r="U67" s="22">
        <v>16.0</v>
      </c>
      <c r="V67" s="22">
        <v>21.0</v>
      </c>
      <c r="W67" s="22">
        <v>18.0</v>
      </c>
      <c r="X67" s="22">
        <v>19.0</v>
      </c>
      <c r="Y67" s="22">
        <v>22.0</v>
      </c>
      <c r="Z67" s="22">
        <v>15.0</v>
      </c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</row>
    <row r="68">
      <c r="A68" s="16" t="s">
        <v>27</v>
      </c>
      <c r="B68" s="16" t="s">
        <v>187</v>
      </c>
      <c r="C68" s="17" t="s">
        <v>18</v>
      </c>
      <c r="D68" s="17" t="s">
        <v>29</v>
      </c>
      <c r="E68" s="17" t="s">
        <v>83</v>
      </c>
      <c r="F68" s="17" t="s">
        <v>84</v>
      </c>
      <c r="G68" s="17" t="s">
        <v>85</v>
      </c>
      <c r="H68" s="25" t="s">
        <v>86</v>
      </c>
      <c r="I68" s="19" t="s">
        <v>82</v>
      </c>
      <c r="J68" s="24" t="s">
        <v>188</v>
      </c>
      <c r="K68" s="21" t="b">
        <f t="shared" si="7"/>
        <v>1</v>
      </c>
      <c r="L68" s="21">
        <f t="shared" si="3"/>
        <v>0</v>
      </c>
      <c r="M68" s="21">
        <f t="array" ref="M68">IF(H68="","",SUMif(year(N$2:BO$2),M$2,N68:BO68))</f>
        <v>77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>
        <v>9.0</v>
      </c>
      <c r="Y68" s="22">
        <v>22.0</v>
      </c>
      <c r="Z68" s="28">
        <v>15.0</v>
      </c>
      <c r="AA68" s="29">
        <v>19.0</v>
      </c>
      <c r="AB68" s="30">
        <v>21.0</v>
      </c>
      <c r="AC68" s="31">
        <v>22.0</v>
      </c>
      <c r="AD68" s="22"/>
      <c r="AE68" s="22"/>
      <c r="AF68" s="22"/>
      <c r="AG68" s="22"/>
      <c r="AH68" s="22"/>
      <c r="AI68" s="22"/>
      <c r="AJ68" s="22"/>
      <c r="AK68" s="22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</row>
    <row r="69">
      <c r="A69" s="16" t="s">
        <v>133</v>
      </c>
      <c r="B69" s="16" t="s">
        <v>134</v>
      </c>
      <c r="C69" s="17" t="s">
        <v>133</v>
      </c>
      <c r="D69" s="17" t="s">
        <v>29</v>
      </c>
      <c r="E69" s="17" t="s">
        <v>46</v>
      </c>
      <c r="F69" s="17" t="s">
        <v>47</v>
      </c>
      <c r="G69" s="17" t="s">
        <v>189</v>
      </c>
      <c r="H69" s="25" t="s">
        <v>189</v>
      </c>
      <c r="I69" s="19" t="s">
        <v>33</v>
      </c>
      <c r="J69" s="24" t="s">
        <v>190</v>
      </c>
      <c r="K69" s="21" t="b">
        <v>1</v>
      </c>
      <c r="L69" s="21">
        <f t="shared" si="3"/>
        <v>0</v>
      </c>
      <c r="M69" s="21">
        <f t="array" ref="M69">IF(H69="","",SUMif(year(N$2:BO$2),M$2,N69:BO69))</f>
        <v>55</v>
      </c>
      <c r="N69" s="22">
        <v>15.0</v>
      </c>
      <c r="O69" s="22">
        <v>9.0</v>
      </c>
      <c r="P69" s="22">
        <v>18.0</v>
      </c>
      <c r="Q69" s="22">
        <v>12.0</v>
      </c>
      <c r="R69" s="22">
        <v>18.0</v>
      </c>
      <c r="S69" s="22">
        <v>14.0</v>
      </c>
      <c r="T69" s="22">
        <v>16.0</v>
      </c>
      <c r="U69" s="22">
        <v>17.0</v>
      </c>
      <c r="V69" s="22">
        <v>18.0</v>
      </c>
      <c r="W69" s="22">
        <v>14.0</v>
      </c>
      <c r="X69" s="22">
        <v>15.0</v>
      </c>
      <c r="Y69" s="22">
        <v>18.0</v>
      </c>
      <c r="Z69" s="22">
        <v>15.0</v>
      </c>
      <c r="AA69" s="22">
        <v>19.0</v>
      </c>
      <c r="AB69" s="22">
        <v>21.0</v>
      </c>
      <c r="AC69" s="22"/>
      <c r="AD69" s="22"/>
      <c r="AE69" s="22"/>
      <c r="AF69" s="22"/>
      <c r="AG69" s="22"/>
      <c r="AH69" s="22"/>
      <c r="AI69" s="22"/>
      <c r="AJ69" s="22"/>
      <c r="AK69" s="22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</row>
    <row r="70">
      <c r="A70" s="16" t="s">
        <v>16</v>
      </c>
      <c r="B70" s="16" t="s">
        <v>178</v>
      </c>
      <c r="C70" s="17" t="s">
        <v>18</v>
      </c>
      <c r="D70" s="17" t="s">
        <v>19</v>
      </c>
      <c r="E70" s="17" t="s">
        <v>191</v>
      </c>
      <c r="F70" s="17" t="s">
        <v>192</v>
      </c>
      <c r="G70" s="17" t="s">
        <v>193</v>
      </c>
      <c r="H70" s="25" t="s">
        <v>193</v>
      </c>
      <c r="I70" s="19" t="s">
        <v>57</v>
      </c>
      <c r="J70" s="24" t="s">
        <v>179</v>
      </c>
      <c r="K70" s="21" t="b">
        <f t="shared" ref="K70:K93" si="8">if(H70="","",NOT(ISNA(VLOOKUP(J70,'Команда'!G:G,1,false))))</f>
        <v>1</v>
      </c>
      <c r="L70" s="21">
        <f t="shared" si="3"/>
        <v>0</v>
      </c>
      <c r="M70" s="21">
        <f t="array" ref="M70">IF(H70="","",SUMif(year(N$2:BO$2),M$2,N70:BO70))</f>
        <v>0</v>
      </c>
      <c r="N70" s="22">
        <v>8.0</v>
      </c>
      <c r="O70" s="22">
        <v>10.0</v>
      </c>
      <c r="P70" s="22">
        <v>10.0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</row>
    <row r="71">
      <c r="A71" s="16" t="s">
        <v>16</v>
      </c>
      <c r="B71" s="16" t="s">
        <v>103</v>
      </c>
      <c r="C71" s="17" t="s">
        <v>18</v>
      </c>
      <c r="D71" s="17" t="s">
        <v>19</v>
      </c>
      <c r="E71" s="17" t="s">
        <v>191</v>
      </c>
      <c r="F71" s="17" t="s">
        <v>192</v>
      </c>
      <c r="G71" s="17" t="s">
        <v>193</v>
      </c>
      <c r="H71" s="25" t="s">
        <v>193</v>
      </c>
      <c r="I71" s="19" t="s">
        <v>57</v>
      </c>
      <c r="J71" s="24" t="s">
        <v>104</v>
      </c>
      <c r="K71" s="21" t="b">
        <f t="shared" si="8"/>
        <v>1</v>
      </c>
      <c r="L71" s="21">
        <f t="shared" si="3"/>
        <v>0</v>
      </c>
      <c r="M71" s="21">
        <f t="array" ref="M71">IF(H71="","",SUMif(year(N$2:BO$2),M$2,N71:BO71))</f>
        <v>0</v>
      </c>
      <c r="N71" s="22">
        <v>14.0</v>
      </c>
      <c r="O71" s="22">
        <v>17.0</v>
      </c>
      <c r="P71" s="22">
        <v>18.0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</row>
    <row r="72">
      <c r="A72" s="16" t="s">
        <v>16</v>
      </c>
      <c r="B72" s="16" t="s">
        <v>53</v>
      </c>
      <c r="C72" s="17" t="s">
        <v>18</v>
      </c>
      <c r="D72" s="17" t="s">
        <v>19</v>
      </c>
      <c r="E72" s="17" t="s">
        <v>191</v>
      </c>
      <c r="F72" s="17" t="s">
        <v>192</v>
      </c>
      <c r="G72" s="17" t="s">
        <v>193</v>
      </c>
      <c r="H72" s="25" t="s">
        <v>193</v>
      </c>
      <c r="I72" s="19" t="s">
        <v>57</v>
      </c>
      <c r="J72" s="24" t="s">
        <v>77</v>
      </c>
      <c r="K72" s="21" t="b">
        <f t="shared" si="8"/>
        <v>1</v>
      </c>
      <c r="L72" s="21">
        <f t="shared" si="3"/>
        <v>0</v>
      </c>
      <c r="M72" s="21">
        <f t="array" ref="M72">IF(H72="","",SUMif(year(N$2:BO$2),M$2,N72:BO72))</f>
        <v>0</v>
      </c>
      <c r="N72" s="22">
        <v>12.5</v>
      </c>
      <c r="O72" s="22">
        <v>15.0</v>
      </c>
      <c r="P72" s="22">
        <v>15.5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</row>
    <row r="73">
      <c r="A73" s="16" t="s">
        <v>16</v>
      </c>
      <c r="B73" s="16" t="s">
        <v>35</v>
      </c>
      <c r="C73" s="17" t="s">
        <v>18</v>
      </c>
      <c r="D73" s="17" t="s">
        <v>19</v>
      </c>
      <c r="E73" s="17" t="s">
        <v>191</v>
      </c>
      <c r="F73" s="17" t="s">
        <v>192</v>
      </c>
      <c r="G73" s="17" t="s">
        <v>193</v>
      </c>
      <c r="H73" s="25" t="s">
        <v>193</v>
      </c>
      <c r="I73" s="19" t="s">
        <v>57</v>
      </c>
      <c r="J73" s="24" t="s">
        <v>194</v>
      </c>
      <c r="K73" s="21" t="b">
        <f t="shared" si="8"/>
        <v>1</v>
      </c>
      <c r="L73" s="21">
        <f t="shared" si="3"/>
        <v>0</v>
      </c>
      <c r="M73" s="21">
        <f t="array" ref="M73">IF(H73="","",SUMif(year(N$2:BO$2),M$2,N73:BO73))</f>
        <v>5</v>
      </c>
      <c r="N73" s="22">
        <v>7.0</v>
      </c>
      <c r="O73" s="22">
        <v>20.0</v>
      </c>
      <c r="P73" s="22">
        <v>21.0</v>
      </c>
      <c r="Q73" s="22"/>
      <c r="R73" s="22"/>
      <c r="S73" s="22"/>
      <c r="T73" s="22"/>
      <c r="U73" s="22"/>
      <c r="V73" s="22"/>
      <c r="W73" s="22"/>
      <c r="X73" s="22"/>
      <c r="Y73" s="22"/>
      <c r="Z73" s="22">
        <v>5.0</v>
      </c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</row>
    <row r="74">
      <c r="A74" s="16" t="s">
        <v>16</v>
      </c>
      <c r="B74" s="16" t="s">
        <v>35</v>
      </c>
      <c r="C74" s="17" t="s">
        <v>18</v>
      </c>
      <c r="D74" s="17" t="s">
        <v>19</v>
      </c>
      <c r="E74" s="17" t="s">
        <v>191</v>
      </c>
      <c r="F74" s="17" t="s">
        <v>192</v>
      </c>
      <c r="G74" s="17" t="s">
        <v>193</v>
      </c>
      <c r="H74" s="25" t="s">
        <v>193</v>
      </c>
      <c r="I74" s="19" t="s">
        <v>57</v>
      </c>
      <c r="J74" s="24" t="s">
        <v>195</v>
      </c>
      <c r="K74" s="21" t="b">
        <f t="shared" si="8"/>
        <v>1</v>
      </c>
      <c r="L74" s="21">
        <f t="shared" si="3"/>
        <v>0</v>
      </c>
      <c r="M74" s="21">
        <f t="array" ref="M74">IF(H74="","",SUMif(year(N$2:BO$2),M$2,N74:BO74))</f>
        <v>0</v>
      </c>
      <c r="N74" s="22">
        <v>17.0</v>
      </c>
      <c r="O74" s="22">
        <v>18.0</v>
      </c>
      <c r="P74" s="22">
        <v>21.0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</row>
    <row r="75">
      <c r="A75" s="16" t="s">
        <v>16</v>
      </c>
      <c r="B75" s="16" t="s">
        <v>108</v>
      </c>
      <c r="C75" s="17" t="s">
        <v>18</v>
      </c>
      <c r="D75" s="17" t="s">
        <v>19</v>
      </c>
      <c r="E75" s="17" t="s">
        <v>191</v>
      </c>
      <c r="F75" s="17" t="s">
        <v>192</v>
      </c>
      <c r="G75" s="17" t="s">
        <v>193</v>
      </c>
      <c r="H75" s="25" t="s">
        <v>193</v>
      </c>
      <c r="I75" s="19" t="s">
        <v>57</v>
      </c>
      <c r="J75" s="24" t="s">
        <v>196</v>
      </c>
      <c r="K75" s="21" t="b">
        <f t="shared" si="8"/>
        <v>1</v>
      </c>
      <c r="L75" s="21">
        <f t="shared" si="3"/>
        <v>0</v>
      </c>
      <c r="M75" s="21">
        <f t="array" ref="M75">IF(H75="","",SUMif(year(N$2:BO$2),M$2,N75:BO75))</f>
        <v>0</v>
      </c>
      <c r="N75" s="22">
        <v>17.0</v>
      </c>
      <c r="O75" s="22">
        <v>20.0</v>
      </c>
      <c r="P75" s="22">
        <v>21.0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</row>
    <row r="76">
      <c r="A76" s="16" t="s">
        <v>16</v>
      </c>
      <c r="B76" s="16" t="s">
        <v>178</v>
      </c>
      <c r="C76" s="17" t="s">
        <v>18</v>
      </c>
      <c r="D76" s="17" t="s">
        <v>19</v>
      </c>
      <c r="E76" s="17" t="s">
        <v>36</v>
      </c>
      <c r="F76" s="17" t="s">
        <v>37</v>
      </c>
      <c r="G76" s="17" t="s">
        <v>94</v>
      </c>
      <c r="H76" s="25" t="s">
        <v>94</v>
      </c>
      <c r="I76" s="19" t="s">
        <v>71</v>
      </c>
      <c r="J76" s="24" t="s">
        <v>179</v>
      </c>
      <c r="K76" s="21" t="b">
        <f t="shared" si="8"/>
        <v>1</v>
      </c>
      <c r="L76" s="21">
        <f t="shared" si="3"/>
        <v>0</v>
      </c>
      <c r="M76" s="21">
        <f t="array" ref="M76">IF(H76="","",SUMif(year(N$2:BO$2),M$2,N76:BO76))</f>
        <v>0</v>
      </c>
      <c r="N76" s="22">
        <v>9.0</v>
      </c>
      <c r="O76" s="22">
        <v>10.0</v>
      </c>
      <c r="P76" s="22">
        <v>11.0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</row>
    <row r="77">
      <c r="A77" s="16" t="s">
        <v>16</v>
      </c>
      <c r="B77" s="16" t="s">
        <v>60</v>
      </c>
      <c r="C77" s="17" t="s">
        <v>18</v>
      </c>
      <c r="D77" s="17" t="s">
        <v>19</v>
      </c>
      <c r="E77" s="17" t="s">
        <v>36</v>
      </c>
      <c r="F77" s="17" t="s">
        <v>37</v>
      </c>
      <c r="G77" s="17" t="s">
        <v>94</v>
      </c>
      <c r="H77" s="25" t="s">
        <v>94</v>
      </c>
      <c r="I77" s="19" t="s">
        <v>71</v>
      </c>
      <c r="J77" s="24" t="s">
        <v>66</v>
      </c>
      <c r="K77" s="21" t="b">
        <f t="shared" si="8"/>
        <v>1</v>
      </c>
      <c r="L77" s="21">
        <f t="shared" si="3"/>
        <v>0</v>
      </c>
      <c r="M77" s="21">
        <f t="array" ref="M77">IF(H77="","",SUMif(year(N$2:BO$2),M$2,N77:BO77))</f>
        <v>0</v>
      </c>
      <c r="N77" s="22">
        <v>17.0</v>
      </c>
      <c r="O77" s="22">
        <v>20.0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</row>
    <row r="78">
      <c r="A78" s="16" t="s">
        <v>16</v>
      </c>
      <c r="B78" s="16" t="s">
        <v>16</v>
      </c>
      <c r="C78" s="17" t="s">
        <v>18</v>
      </c>
      <c r="D78" s="17" t="s">
        <v>29</v>
      </c>
      <c r="E78" s="17" t="s">
        <v>46</v>
      </c>
      <c r="F78" s="17" t="s">
        <v>47</v>
      </c>
      <c r="G78" s="17" t="s">
        <v>48</v>
      </c>
      <c r="H78" s="25" t="s">
        <v>48</v>
      </c>
      <c r="I78" s="19" t="s">
        <v>33</v>
      </c>
      <c r="J78" s="24" t="s">
        <v>197</v>
      </c>
      <c r="K78" s="21" t="b">
        <f t="shared" si="8"/>
        <v>1</v>
      </c>
      <c r="L78" s="21">
        <f t="shared" si="3"/>
        <v>0</v>
      </c>
      <c r="M78" s="21">
        <f t="array" ref="M78">IF(H78="","",SUMif(year(N$2:BO$2),M$2,N78:BO78))</f>
        <v>0</v>
      </c>
      <c r="N78" s="22">
        <v>17.0</v>
      </c>
      <c r="O78" s="22">
        <v>19.0</v>
      </c>
      <c r="P78" s="22">
        <v>21.0</v>
      </c>
      <c r="Q78" s="22">
        <v>18.0</v>
      </c>
      <c r="R78" s="22">
        <v>18.0</v>
      </c>
      <c r="S78" s="22">
        <v>19.0</v>
      </c>
      <c r="T78" s="22">
        <v>13.0</v>
      </c>
      <c r="U78" s="22">
        <v>21.0</v>
      </c>
      <c r="V78" s="22">
        <v>22.0</v>
      </c>
      <c r="W78" s="22">
        <v>18.0</v>
      </c>
      <c r="X78" s="22">
        <v>19.0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</row>
    <row r="79">
      <c r="A79" s="16" t="s">
        <v>27</v>
      </c>
      <c r="B79" s="16" t="s">
        <v>35</v>
      </c>
      <c r="C79" s="17" t="s">
        <v>156</v>
      </c>
      <c r="D79" s="17" t="s">
        <v>29</v>
      </c>
      <c r="E79" s="17" t="s">
        <v>161</v>
      </c>
      <c r="F79" s="17" t="s">
        <v>162</v>
      </c>
      <c r="G79" s="17" t="s">
        <v>163</v>
      </c>
      <c r="H79" s="25" t="s">
        <v>164</v>
      </c>
      <c r="I79" s="19" t="s">
        <v>65</v>
      </c>
      <c r="J79" s="24" t="s">
        <v>198</v>
      </c>
      <c r="K79" s="21" t="b">
        <f t="shared" si="8"/>
        <v>1</v>
      </c>
      <c r="L79" s="21">
        <f t="shared" si="3"/>
        <v>0</v>
      </c>
      <c r="M79" s="21">
        <f t="array" ref="M79">IF(H79="","",SUMif(year(N$2:BO$2),M$2,N79:BO79))</f>
        <v>55</v>
      </c>
      <c r="N79" s="22"/>
      <c r="O79" s="22"/>
      <c r="P79" s="22"/>
      <c r="Q79" s="22"/>
      <c r="R79" s="22"/>
      <c r="S79" s="22"/>
      <c r="T79" s="22"/>
      <c r="U79" s="22"/>
      <c r="V79" s="22">
        <v>17.0</v>
      </c>
      <c r="W79" s="22">
        <v>20.0</v>
      </c>
      <c r="X79" s="22">
        <v>19.0</v>
      </c>
      <c r="Y79" s="22">
        <v>22.0</v>
      </c>
      <c r="Z79" s="22">
        <v>15.0</v>
      </c>
      <c r="AA79" s="22">
        <v>19.0</v>
      </c>
      <c r="AB79" s="22">
        <v>21.0</v>
      </c>
      <c r="AC79" s="22"/>
      <c r="AD79" s="22"/>
      <c r="AE79" s="22"/>
      <c r="AF79" s="22"/>
      <c r="AG79" s="22"/>
      <c r="AH79" s="22"/>
      <c r="AI79" s="22"/>
      <c r="AJ79" s="22"/>
      <c r="AK79" s="22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</row>
    <row r="80">
      <c r="A80" s="16" t="s">
        <v>27</v>
      </c>
      <c r="B80" s="16" t="s">
        <v>141</v>
      </c>
      <c r="C80" s="17" t="s">
        <v>18</v>
      </c>
      <c r="D80" s="17" t="s">
        <v>29</v>
      </c>
      <c r="E80" s="17" t="s">
        <v>46</v>
      </c>
      <c r="F80" s="17" t="s">
        <v>47</v>
      </c>
      <c r="G80" s="17" t="s">
        <v>50</v>
      </c>
      <c r="H80" s="25" t="s">
        <v>50</v>
      </c>
      <c r="I80" s="19" t="s">
        <v>33</v>
      </c>
      <c r="J80" s="24" t="s">
        <v>199</v>
      </c>
      <c r="K80" s="21" t="b">
        <f t="shared" si="8"/>
        <v>1</v>
      </c>
      <c r="L80" s="21">
        <f t="shared" si="3"/>
        <v>0</v>
      </c>
      <c r="M80" s="21">
        <f t="array" ref="M80">IF(H80="","",SUMif(year(N$2:BO$2),M$2,N80:BO80))</f>
        <v>0</v>
      </c>
      <c r="N80" s="32">
        <v>17.07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</row>
    <row r="81">
      <c r="A81" s="16" t="s">
        <v>27</v>
      </c>
      <c r="B81" s="16" t="s">
        <v>28</v>
      </c>
      <c r="C81" s="17" t="s">
        <v>18</v>
      </c>
      <c r="D81" s="17" t="s">
        <v>29</v>
      </c>
      <c r="E81" s="17" t="s">
        <v>68</v>
      </c>
      <c r="F81" s="17" t="s">
        <v>69</v>
      </c>
      <c r="G81" s="17" t="s">
        <v>70</v>
      </c>
      <c r="H81" s="25" t="s">
        <v>70</v>
      </c>
      <c r="I81" s="19" t="s">
        <v>71</v>
      </c>
      <c r="J81" s="24" t="s">
        <v>200</v>
      </c>
      <c r="K81" s="21" t="b">
        <f t="shared" si="8"/>
        <v>1</v>
      </c>
      <c r="L81" s="21">
        <f t="shared" si="3"/>
        <v>0</v>
      </c>
      <c r="M81" s="21">
        <f t="array" ref="M81">IF(H81="","",SUMif(year(N$2:BO$2),M$2,N81:BO81))</f>
        <v>247</v>
      </c>
      <c r="N81" s="22">
        <v>17.0</v>
      </c>
      <c r="O81" s="22">
        <v>20.0</v>
      </c>
      <c r="P81" s="22">
        <v>21.0</v>
      </c>
      <c r="Q81" s="22">
        <v>22.0</v>
      </c>
      <c r="R81" s="22">
        <v>18.0</v>
      </c>
      <c r="S81" s="22">
        <v>19.0</v>
      </c>
      <c r="T81" s="22">
        <v>23.0</v>
      </c>
      <c r="U81" s="22">
        <v>21.0</v>
      </c>
      <c r="V81" s="22">
        <v>22.0</v>
      </c>
      <c r="W81" s="22">
        <v>23.0</v>
      </c>
      <c r="X81" s="22">
        <v>19.0</v>
      </c>
      <c r="Y81" s="22">
        <v>22.0</v>
      </c>
      <c r="Z81" s="22">
        <v>15.0</v>
      </c>
      <c r="AA81" s="22">
        <v>19.0</v>
      </c>
      <c r="AB81" s="22">
        <v>21.0</v>
      </c>
      <c r="AC81" s="22">
        <v>22.0</v>
      </c>
      <c r="AD81" s="22">
        <v>19.0</v>
      </c>
      <c r="AE81" s="22">
        <v>21.0</v>
      </c>
      <c r="AF81" s="22">
        <v>23.0</v>
      </c>
      <c r="AG81" s="22">
        <v>21.0</v>
      </c>
      <c r="AH81" s="22">
        <v>22.0</v>
      </c>
      <c r="AI81" s="22">
        <v>22.0</v>
      </c>
      <c r="AJ81" s="22">
        <v>20.0</v>
      </c>
      <c r="AK81" s="22">
        <v>22.0</v>
      </c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</row>
    <row r="82">
      <c r="A82" s="16" t="s">
        <v>27</v>
      </c>
      <c r="B82" s="16" t="s">
        <v>201</v>
      </c>
      <c r="C82" s="17" t="s">
        <v>18</v>
      </c>
      <c r="D82" s="17" t="s">
        <v>29</v>
      </c>
      <c r="E82" s="17" t="s">
        <v>46</v>
      </c>
      <c r="F82" s="17" t="s">
        <v>47</v>
      </c>
      <c r="G82" s="17" t="s">
        <v>202</v>
      </c>
      <c r="H82" s="18" t="s">
        <v>202</v>
      </c>
      <c r="I82" s="19" t="s">
        <v>33</v>
      </c>
      <c r="J82" s="20" t="s">
        <v>203</v>
      </c>
      <c r="K82" s="21" t="b">
        <f t="shared" si="8"/>
        <v>1</v>
      </c>
      <c r="L82" s="21">
        <f t="shared" si="3"/>
        <v>0</v>
      </c>
      <c r="M82" s="21">
        <f t="array" ref="M82">IF(H82="","",SUMif(year(N$2:BO$2),M$2,N82:BO82))</f>
        <v>55</v>
      </c>
      <c r="N82" s="22">
        <v>17.0</v>
      </c>
      <c r="O82" s="22">
        <v>19.0</v>
      </c>
      <c r="P82" s="22">
        <v>21.0</v>
      </c>
      <c r="Q82" s="22">
        <v>20.0</v>
      </c>
      <c r="R82" s="22">
        <v>18.0</v>
      </c>
      <c r="S82" s="22">
        <v>19.0</v>
      </c>
      <c r="T82" s="22">
        <v>13.0</v>
      </c>
      <c r="U82" s="22">
        <v>21.0</v>
      </c>
      <c r="V82" s="22">
        <v>22.0</v>
      </c>
      <c r="W82" s="22">
        <v>18.0</v>
      </c>
      <c r="X82" s="22">
        <v>19.0</v>
      </c>
      <c r="Y82" s="22">
        <v>22.0</v>
      </c>
      <c r="Z82" s="22">
        <v>15.0</v>
      </c>
      <c r="AA82" s="22">
        <v>19.0</v>
      </c>
      <c r="AB82" s="22">
        <v>21.0</v>
      </c>
      <c r="AC82" s="22"/>
      <c r="AD82" s="22"/>
      <c r="AE82" s="22"/>
      <c r="AF82" s="22"/>
      <c r="AG82" s="22"/>
      <c r="AH82" s="22"/>
      <c r="AI82" s="22"/>
      <c r="AJ82" s="22"/>
      <c r="AK82" s="22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</row>
    <row r="83">
      <c r="A83" s="16" t="s">
        <v>27</v>
      </c>
      <c r="B83" s="16" t="s">
        <v>87</v>
      </c>
      <c r="C83" s="17" t="s">
        <v>18</v>
      </c>
      <c r="D83" s="17" t="s">
        <v>19</v>
      </c>
      <c r="E83" s="17" t="s">
        <v>20</v>
      </c>
      <c r="F83" s="17" t="s">
        <v>25</v>
      </c>
      <c r="G83" s="17" t="s">
        <v>26</v>
      </c>
      <c r="H83" s="18" t="s">
        <v>26</v>
      </c>
      <c r="I83" s="19" t="s">
        <v>23</v>
      </c>
      <c r="J83" s="24" t="s">
        <v>132</v>
      </c>
      <c r="K83" s="21" t="b">
        <f t="shared" si="8"/>
        <v>1</v>
      </c>
      <c r="L83" s="21">
        <f t="shared" si="3"/>
        <v>0</v>
      </c>
      <c r="M83" s="21">
        <f t="array" ref="M83">IF(H83="","",SUMif(year(N$2:BO$2),M$2,N83:BO83))</f>
        <v>0</v>
      </c>
      <c r="N83" s="22">
        <v>0.38</v>
      </c>
      <c r="O83" s="22">
        <v>0.38</v>
      </c>
      <c r="P83" s="22">
        <v>0.0</v>
      </c>
      <c r="Q83" s="22"/>
      <c r="R83" s="22"/>
      <c r="S83" s="22"/>
      <c r="T83" s="22"/>
      <c r="U83" s="22"/>
      <c r="V83" s="22"/>
      <c r="W83" s="22"/>
      <c r="X83" s="22">
        <v>19.0</v>
      </c>
      <c r="Y83" s="22">
        <v>22.0</v>
      </c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</row>
    <row r="84">
      <c r="A84" s="16" t="s">
        <v>27</v>
      </c>
      <c r="B84" s="16" t="s">
        <v>87</v>
      </c>
      <c r="C84" s="17" t="s">
        <v>18</v>
      </c>
      <c r="D84" s="17" t="s">
        <v>19</v>
      </c>
      <c r="E84" s="17" t="s">
        <v>20</v>
      </c>
      <c r="F84" s="17" t="s">
        <v>21</v>
      </c>
      <c r="G84" s="17" t="s">
        <v>22</v>
      </c>
      <c r="H84" s="25" t="s">
        <v>22</v>
      </c>
      <c r="I84" s="19" t="s">
        <v>23</v>
      </c>
      <c r="J84" s="24" t="s">
        <v>132</v>
      </c>
      <c r="K84" s="21" t="b">
        <f t="shared" si="8"/>
        <v>1</v>
      </c>
      <c r="L84" s="21">
        <f t="shared" si="3"/>
        <v>0</v>
      </c>
      <c r="M84" s="21">
        <f t="array" ref="M84">IF(H84="","",SUMif(year(N$2:BO$2),M$2,N84:BO84))</f>
        <v>0</v>
      </c>
      <c r="N84" s="22">
        <v>0.0</v>
      </c>
      <c r="O84" s="22">
        <v>0.0</v>
      </c>
      <c r="P84" s="22">
        <v>2.25</v>
      </c>
      <c r="Q84" s="22">
        <v>1.8</v>
      </c>
      <c r="R84" s="22">
        <v>3.6</v>
      </c>
      <c r="S84" s="22">
        <v>3.6</v>
      </c>
      <c r="T84" s="22">
        <v>20.2</v>
      </c>
      <c r="U84" s="22">
        <v>17.4</v>
      </c>
      <c r="V84" s="22">
        <v>6.6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</row>
    <row r="85">
      <c r="A85" s="16" t="s">
        <v>27</v>
      </c>
      <c r="B85" s="16" t="s">
        <v>204</v>
      </c>
      <c r="C85" s="17" t="s">
        <v>18</v>
      </c>
      <c r="D85" s="17" t="s">
        <v>19</v>
      </c>
      <c r="E85" s="17" t="s">
        <v>20</v>
      </c>
      <c r="F85" s="17" t="s">
        <v>42</v>
      </c>
      <c r="G85" s="17" t="s">
        <v>43</v>
      </c>
      <c r="H85" s="25" t="s">
        <v>43</v>
      </c>
      <c r="I85" s="19" t="s">
        <v>23</v>
      </c>
      <c r="J85" s="24" t="s">
        <v>205</v>
      </c>
      <c r="K85" s="21" t="b">
        <f t="shared" si="8"/>
        <v>1</v>
      </c>
      <c r="L85" s="21">
        <f t="shared" si="3"/>
        <v>0</v>
      </c>
      <c r="M85" s="21">
        <f t="array" ref="M85">IF(H85="","",SUMif(year(N$2:BO$2),M$2,N85:BO85))</f>
        <v>0</v>
      </c>
      <c r="N85" s="22">
        <v>13.0</v>
      </c>
      <c r="O85" s="22">
        <v>14.8</v>
      </c>
      <c r="P85" s="22">
        <v>10.5</v>
      </c>
      <c r="Q85" s="22">
        <v>16.0</v>
      </c>
      <c r="R85" s="22">
        <v>12.0</v>
      </c>
      <c r="S85" s="22">
        <v>8.5</v>
      </c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</row>
    <row r="86">
      <c r="A86" s="16" t="s">
        <v>27</v>
      </c>
      <c r="B86" s="16" t="s">
        <v>206</v>
      </c>
      <c r="C86" s="17" t="s">
        <v>18</v>
      </c>
      <c r="D86" s="17" t="s">
        <v>29</v>
      </c>
      <c r="E86" s="17" t="s">
        <v>90</v>
      </c>
      <c r="F86" s="17" t="s">
        <v>91</v>
      </c>
      <c r="G86" s="17" t="s">
        <v>92</v>
      </c>
      <c r="H86" s="25" t="s">
        <v>92</v>
      </c>
      <c r="I86" s="19" t="s">
        <v>33</v>
      </c>
      <c r="J86" s="24" t="s">
        <v>207</v>
      </c>
      <c r="K86" s="21" t="b">
        <f t="shared" si="8"/>
        <v>1</v>
      </c>
      <c r="L86" s="21">
        <f t="shared" si="3"/>
        <v>0</v>
      </c>
      <c r="M86" s="21">
        <f t="array" ref="M86">IF(H86="","",SUMif(year(N$2:BO$2),M$2,N86:BO86))</f>
        <v>55</v>
      </c>
      <c r="N86" s="22"/>
      <c r="O86" s="22"/>
      <c r="P86" s="22"/>
      <c r="Q86" s="22"/>
      <c r="R86" s="22"/>
      <c r="S86" s="22"/>
      <c r="T86" s="22"/>
      <c r="U86" s="22"/>
      <c r="V86" s="22"/>
      <c r="W86" s="22">
        <v>1.0</v>
      </c>
      <c r="X86" s="22">
        <v>19.0</v>
      </c>
      <c r="Y86" s="22">
        <v>22.0</v>
      </c>
      <c r="Z86" s="22">
        <v>15.0</v>
      </c>
      <c r="AA86" s="22">
        <v>19.0</v>
      </c>
      <c r="AB86" s="22">
        <v>21.0</v>
      </c>
      <c r="AC86" s="22"/>
      <c r="AD86" s="22"/>
      <c r="AE86" s="22"/>
      <c r="AF86" s="22"/>
      <c r="AG86" s="22"/>
      <c r="AH86" s="22"/>
      <c r="AI86" s="22"/>
      <c r="AJ86" s="22"/>
      <c r="AK86" s="22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</row>
    <row r="87">
      <c r="A87" s="16" t="s">
        <v>16</v>
      </c>
      <c r="B87" s="16" t="s">
        <v>208</v>
      </c>
      <c r="C87" s="17" t="s">
        <v>18</v>
      </c>
      <c r="D87" s="17" t="s">
        <v>19</v>
      </c>
      <c r="E87" s="17" t="s">
        <v>20</v>
      </c>
      <c r="F87" s="17" t="s">
        <v>25</v>
      </c>
      <c r="G87" s="17" t="s">
        <v>26</v>
      </c>
      <c r="H87" s="18" t="s">
        <v>26</v>
      </c>
      <c r="I87" s="19" t="s">
        <v>23</v>
      </c>
      <c r="J87" s="24" t="s">
        <v>209</v>
      </c>
      <c r="K87" s="21" t="b">
        <f t="shared" si="8"/>
        <v>1</v>
      </c>
      <c r="L87" s="21">
        <f t="shared" si="3"/>
        <v>0</v>
      </c>
      <c r="M87" s="21">
        <f t="array" ref="M87">IF(H87="","",SUMif(year(N$2:BO$2),M$2,N87:BO87))</f>
        <v>0</v>
      </c>
      <c r="N87" s="22">
        <v>0.75</v>
      </c>
      <c r="O87" s="22">
        <v>3.44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</row>
    <row r="88">
      <c r="A88" s="16" t="s">
        <v>16</v>
      </c>
      <c r="B88" s="16" t="s">
        <v>17</v>
      </c>
      <c r="C88" s="17" t="s">
        <v>18</v>
      </c>
      <c r="D88" s="17" t="s">
        <v>19</v>
      </c>
      <c r="E88" s="17" t="s">
        <v>20</v>
      </c>
      <c r="F88" s="17" t="s">
        <v>42</v>
      </c>
      <c r="G88" s="17" t="s">
        <v>43</v>
      </c>
      <c r="H88" s="25" t="s">
        <v>43</v>
      </c>
      <c r="I88" s="19" t="s">
        <v>23</v>
      </c>
      <c r="J88" s="24" t="s">
        <v>24</v>
      </c>
      <c r="K88" s="21" t="b">
        <f t="shared" si="8"/>
        <v>1</v>
      </c>
      <c r="L88" s="21">
        <f t="shared" si="3"/>
        <v>0</v>
      </c>
      <c r="M88" s="21">
        <f t="array" ref="M88">IF(H88="","",SUMif(year(N$2:BO$2),M$2,N88:BO88))</f>
        <v>0</v>
      </c>
      <c r="N88" s="22">
        <v>0.5</v>
      </c>
      <c r="O88" s="22">
        <v>0.0</v>
      </c>
      <c r="P88" s="22">
        <v>4.0</v>
      </c>
      <c r="Q88" s="22">
        <v>6.0</v>
      </c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</row>
    <row r="89">
      <c r="A89" s="16" t="s">
        <v>27</v>
      </c>
      <c r="B89" s="16" t="s">
        <v>210</v>
      </c>
      <c r="C89" s="17" t="s">
        <v>18</v>
      </c>
      <c r="D89" s="17" t="s">
        <v>19</v>
      </c>
      <c r="E89" s="17" t="s">
        <v>20</v>
      </c>
      <c r="F89" s="17" t="s">
        <v>42</v>
      </c>
      <c r="G89" s="17" t="s">
        <v>43</v>
      </c>
      <c r="H89" s="25" t="s">
        <v>43</v>
      </c>
      <c r="I89" s="19" t="s">
        <v>23</v>
      </c>
      <c r="J89" s="24" t="s">
        <v>207</v>
      </c>
      <c r="K89" s="21" t="b">
        <f t="shared" si="8"/>
        <v>1</v>
      </c>
      <c r="L89" s="21">
        <f t="shared" si="3"/>
        <v>0</v>
      </c>
      <c r="M89" s="21">
        <f t="array" ref="M89">IF(H89="","",SUMif(year(N$2:BO$2),M$2,N89:BO89))</f>
        <v>0</v>
      </c>
      <c r="N89" s="22">
        <v>0.0</v>
      </c>
      <c r="O89" s="22">
        <v>0.0</v>
      </c>
      <c r="P89" s="22">
        <v>1.51</v>
      </c>
      <c r="Q89" s="22">
        <v>11.0</v>
      </c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</row>
    <row r="90">
      <c r="A90" s="16" t="s">
        <v>27</v>
      </c>
      <c r="B90" s="16" t="s">
        <v>210</v>
      </c>
      <c r="C90" s="17" t="s">
        <v>18</v>
      </c>
      <c r="D90" s="17" t="s">
        <v>19</v>
      </c>
      <c r="E90" s="17" t="s">
        <v>20</v>
      </c>
      <c r="F90" s="17" t="s">
        <v>21</v>
      </c>
      <c r="G90" s="17" t="s">
        <v>22</v>
      </c>
      <c r="H90" s="25" t="s">
        <v>22</v>
      </c>
      <c r="I90" s="19" t="s">
        <v>23</v>
      </c>
      <c r="J90" s="24" t="s">
        <v>207</v>
      </c>
      <c r="K90" s="21" t="b">
        <f t="shared" si="8"/>
        <v>1</v>
      </c>
      <c r="L90" s="21">
        <f t="shared" si="3"/>
        <v>0</v>
      </c>
      <c r="M90" s="21">
        <f t="array" ref="M90">IF(H90="","",SUMif(year(N$2:BO$2),M$2,N90:BO90))</f>
        <v>0</v>
      </c>
      <c r="N90" s="22">
        <v>16.95</v>
      </c>
      <c r="O90" s="22">
        <v>19.94</v>
      </c>
      <c r="P90" s="22">
        <v>19.25</v>
      </c>
      <c r="Q90" s="22">
        <v>11.0</v>
      </c>
      <c r="R90" s="22">
        <v>4.5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</row>
    <row r="91">
      <c r="A91" s="16" t="s">
        <v>27</v>
      </c>
      <c r="B91" s="16" t="s">
        <v>117</v>
      </c>
      <c r="C91" s="17" t="s">
        <v>18</v>
      </c>
      <c r="D91" s="17" t="s">
        <v>19</v>
      </c>
      <c r="E91" s="17" t="s">
        <v>20</v>
      </c>
      <c r="F91" s="17" t="s">
        <v>21</v>
      </c>
      <c r="G91" s="17" t="s">
        <v>22</v>
      </c>
      <c r="H91" s="25" t="s">
        <v>22</v>
      </c>
      <c r="I91" s="19" t="s">
        <v>23</v>
      </c>
      <c r="J91" s="24" t="s">
        <v>120</v>
      </c>
      <c r="K91" s="21" t="b">
        <f t="shared" si="8"/>
        <v>1</v>
      </c>
      <c r="L91" s="21">
        <f t="shared" si="3"/>
        <v>0</v>
      </c>
      <c r="M91" s="21">
        <f t="array" ref="M91">IF(H91="","",SUMif(year(N$2:BO$2),M$2,N91:BO91))</f>
        <v>0</v>
      </c>
      <c r="N91" s="22">
        <v>0.0</v>
      </c>
      <c r="O91" s="22">
        <v>3.0</v>
      </c>
      <c r="P91" s="22">
        <v>4.27</v>
      </c>
      <c r="Q91" s="22">
        <v>15.0</v>
      </c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</row>
    <row r="92">
      <c r="A92" s="16" t="s">
        <v>27</v>
      </c>
      <c r="B92" s="16" t="s">
        <v>211</v>
      </c>
      <c r="C92" s="17" t="s">
        <v>18</v>
      </c>
      <c r="D92" s="17" t="s">
        <v>19</v>
      </c>
      <c r="E92" s="17" t="s">
        <v>36</v>
      </c>
      <c r="F92" s="17" t="s">
        <v>37</v>
      </c>
      <c r="G92" s="17" t="s">
        <v>94</v>
      </c>
      <c r="H92" s="25" t="s">
        <v>94</v>
      </c>
      <c r="I92" s="19" t="s">
        <v>71</v>
      </c>
      <c r="J92" s="24" t="s">
        <v>212</v>
      </c>
      <c r="K92" s="21" t="b">
        <f t="shared" si="8"/>
        <v>1</v>
      </c>
      <c r="L92" s="21">
        <f t="shared" si="3"/>
        <v>0</v>
      </c>
      <c r="M92" s="21">
        <f t="array" ref="M92">IF(H92="","",SUMif(year(N$2:BO$2),M$2,N92:BO92))</f>
        <v>117</v>
      </c>
      <c r="N92" s="22">
        <v>17.0</v>
      </c>
      <c r="O92" s="22">
        <v>20.0</v>
      </c>
      <c r="P92" s="22">
        <v>21.0</v>
      </c>
      <c r="Q92" s="22">
        <v>22.0</v>
      </c>
      <c r="R92" s="22">
        <v>18.0</v>
      </c>
      <c r="S92" s="22">
        <v>19.0</v>
      </c>
      <c r="T92" s="22">
        <v>23.0</v>
      </c>
      <c r="U92" s="22">
        <v>21.0</v>
      </c>
      <c r="V92" s="22">
        <v>22.0</v>
      </c>
      <c r="W92" s="22">
        <v>23.0</v>
      </c>
      <c r="X92" s="22">
        <v>19.0</v>
      </c>
      <c r="Y92" s="22">
        <v>22.0</v>
      </c>
      <c r="Z92" s="22">
        <v>15.0</v>
      </c>
      <c r="AA92" s="22">
        <v>19.0</v>
      </c>
      <c r="AB92" s="22">
        <v>21.0</v>
      </c>
      <c r="AC92" s="22">
        <v>22.0</v>
      </c>
      <c r="AD92" s="22">
        <v>19.0</v>
      </c>
      <c r="AE92" s="22">
        <v>21.0</v>
      </c>
      <c r="AF92" s="22"/>
      <c r="AG92" s="22"/>
      <c r="AH92" s="22"/>
      <c r="AI92" s="22"/>
      <c r="AJ92" s="22"/>
      <c r="AK92" s="22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</row>
    <row r="93">
      <c r="A93" s="16" t="s">
        <v>27</v>
      </c>
      <c r="B93" s="16" t="s">
        <v>211</v>
      </c>
      <c r="C93" s="17" t="s">
        <v>18</v>
      </c>
      <c r="D93" s="17" t="s">
        <v>29</v>
      </c>
      <c r="E93" s="17" t="s">
        <v>79</v>
      </c>
      <c r="F93" s="17" t="s">
        <v>80</v>
      </c>
      <c r="G93" s="17" t="s">
        <v>81</v>
      </c>
      <c r="H93" s="25" t="s">
        <v>81</v>
      </c>
      <c r="I93" s="19" t="s">
        <v>65</v>
      </c>
      <c r="J93" s="24" t="s">
        <v>212</v>
      </c>
      <c r="K93" s="21" t="b">
        <f t="shared" si="8"/>
        <v>1</v>
      </c>
      <c r="L93" s="21">
        <f t="shared" si="3"/>
        <v>0</v>
      </c>
      <c r="M93" s="21">
        <f t="array" ref="M93">IF(H93="","",SUMif(year(N$2:BO$2),M$2,N93:BO93))</f>
        <v>34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>
        <v>16.0</v>
      </c>
      <c r="Y93" s="22">
        <v>22.0</v>
      </c>
      <c r="Z93" s="22">
        <v>15.0</v>
      </c>
      <c r="AA93" s="22">
        <v>19.0</v>
      </c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</row>
    <row r="94">
      <c r="A94" s="16" t="s">
        <v>27</v>
      </c>
      <c r="B94" s="16" t="s">
        <v>35</v>
      </c>
      <c r="C94" s="17" t="s">
        <v>18</v>
      </c>
      <c r="D94" s="17" t="s">
        <v>29</v>
      </c>
      <c r="E94" s="17" t="s">
        <v>30</v>
      </c>
      <c r="F94" s="17" t="s">
        <v>31</v>
      </c>
      <c r="G94" s="17" t="s">
        <v>32</v>
      </c>
      <c r="H94" s="18" t="s">
        <v>32</v>
      </c>
      <c r="I94" s="19" t="s">
        <v>33</v>
      </c>
      <c r="J94" s="20" t="s">
        <v>171</v>
      </c>
      <c r="K94" s="21" t="b">
        <v>1</v>
      </c>
      <c r="L94" s="21">
        <f t="shared" si="3"/>
        <v>0</v>
      </c>
      <c r="M94" s="21">
        <f t="array" ref="M94">IF(H94="","",SUMif(year(N$2:BO$2),M$2,N94:BO94))</f>
        <v>0</v>
      </c>
      <c r="N94" s="22">
        <v>17.0</v>
      </c>
      <c r="O94" s="22">
        <v>15.0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</row>
    <row r="95">
      <c r="A95" s="16" t="s">
        <v>16</v>
      </c>
      <c r="B95" s="16" t="s">
        <v>108</v>
      </c>
      <c r="C95" s="17" t="s">
        <v>18</v>
      </c>
      <c r="D95" s="17" t="s">
        <v>19</v>
      </c>
      <c r="E95" s="17" t="s">
        <v>109</v>
      </c>
      <c r="F95" s="17" t="s">
        <v>110</v>
      </c>
      <c r="G95" s="17" t="s">
        <v>111</v>
      </c>
      <c r="H95" s="25" t="s">
        <v>111</v>
      </c>
      <c r="I95" s="19" t="s">
        <v>57</v>
      </c>
      <c r="J95" s="24" t="s">
        <v>196</v>
      </c>
      <c r="K95" s="21" t="b">
        <f t="shared" ref="K95:K98" si="9">if(H95="","",NOT(ISNA(VLOOKUP(J95,'Команда'!G:G,1,false))))</f>
        <v>1</v>
      </c>
      <c r="L95" s="21">
        <f t="shared" si="3"/>
        <v>0</v>
      </c>
      <c r="M95" s="21">
        <f t="array" ref="M95">IF(H95="","",SUMif(year(N$2:BO$2),M$2,N95:BO95))</f>
        <v>44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>
        <v>15.0</v>
      </c>
      <c r="AA95" s="22">
        <v>19.0</v>
      </c>
      <c r="AB95" s="22">
        <v>10.0</v>
      </c>
      <c r="AC95" s="22"/>
      <c r="AD95" s="22"/>
      <c r="AE95" s="22"/>
      <c r="AF95" s="22"/>
      <c r="AG95" s="22"/>
      <c r="AH95" s="22"/>
      <c r="AI95" s="22"/>
      <c r="AJ95" s="22"/>
      <c r="AK95" s="22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</row>
    <row r="96">
      <c r="A96" s="16" t="s">
        <v>27</v>
      </c>
      <c r="B96" s="16" t="s">
        <v>159</v>
      </c>
      <c r="C96" s="17" t="s">
        <v>18</v>
      </c>
      <c r="D96" s="17" t="s">
        <v>19</v>
      </c>
      <c r="E96" s="17" t="s">
        <v>36</v>
      </c>
      <c r="F96" s="17" t="s">
        <v>37</v>
      </c>
      <c r="G96" s="17" t="s">
        <v>94</v>
      </c>
      <c r="H96" s="25" t="s">
        <v>94</v>
      </c>
      <c r="I96" s="19" t="s">
        <v>71</v>
      </c>
      <c r="J96" s="24" t="s">
        <v>213</v>
      </c>
      <c r="K96" s="21" t="b">
        <f t="shared" si="9"/>
        <v>1</v>
      </c>
      <c r="L96" s="21">
        <f t="shared" si="3"/>
        <v>0</v>
      </c>
      <c r="M96" s="21">
        <f t="array" ref="M96">IF(H96="","",SUMif(year(N$2:BO$2),M$2,N96:BO96))</f>
        <v>53</v>
      </c>
      <c r="N96" s="22">
        <v>17.0</v>
      </c>
      <c r="O96" s="22">
        <v>20.0</v>
      </c>
      <c r="P96" s="22">
        <v>21.0</v>
      </c>
      <c r="Q96" s="22">
        <v>22.0</v>
      </c>
      <c r="R96" s="22">
        <v>18.0</v>
      </c>
      <c r="S96" s="22">
        <v>19.0</v>
      </c>
      <c r="T96" s="22">
        <v>23.0</v>
      </c>
      <c r="U96" s="22">
        <v>21.0</v>
      </c>
      <c r="V96" s="22">
        <v>3.0</v>
      </c>
      <c r="W96" s="22"/>
      <c r="X96" s="22"/>
      <c r="Y96" s="22"/>
      <c r="Z96" s="22">
        <v>5.0</v>
      </c>
      <c r="AA96" s="22">
        <v>12.0</v>
      </c>
      <c r="AB96" s="22">
        <v>15.0</v>
      </c>
      <c r="AC96" s="22">
        <v>21.0</v>
      </c>
      <c r="AD96" s="22"/>
      <c r="AE96" s="22"/>
      <c r="AF96" s="22"/>
      <c r="AG96" s="22"/>
      <c r="AH96" s="22"/>
      <c r="AI96" s="22"/>
      <c r="AJ96" s="22"/>
      <c r="AK96" s="22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</row>
    <row r="97">
      <c r="A97" s="16" t="s">
        <v>27</v>
      </c>
      <c r="B97" s="16" t="s">
        <v>211</v>
      </c>
      <c r="C97" s="17" t="s">
        <v>18</v>
      </c>
      <c r="D97" s="17" t="s">
        <v>29</v>
      </c>
      <c r="E97" s="17" t="s">
        <v>79</v>
      </c>
      <c r="F97" s="17" t="s">
        <v>80</v>
      </c>
      <c r="G97" s="17" t="s">
        <v>81</v>
      </c>
      <c r="H97" s="25" t="s">
        <v>81</v>
      </c>
      <c r="I97" s="19" t="s">
        <v>65</v>
      </c>
      <c r="J97" s="24" t="s">
        <v>214</v>
      </c>
      <c r="K97" s="21" t="b">
        <f t="shared" si="9"/>
        <v>1</v>
      </c>
      <c r="L97" s="21">
        <f t="shared" si="3"/>
        <v>0</v>
      </c>
      <c r="M97" s="21">
        <f t="array" ref="M97">IF(H97="","",SUMif(year(N$2:BO$2),M$2,N97:BO97))</f>
        <v>34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>
        <v>16.0</v>
      </c>
      <c r="Y97" s="22">
        <v>22.0</v>
      </c>
      <c r="Z97" s="22">
        <v>15.0</v>
      </c>
      <c r="AA97" s="22">
        <v>19.0</v>
      </c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</row>
    <row r="98">
      <c r="A98" s="16" t="s">
        <v>16</v>
      </c>
      <c r="B98" s="16" t="s">
        <v>159</v>
      </c>
      <c r="C98" s="17" t="s">
        <v>18</v>
      </c>
      <c r="D98" s="17" t="s">
        <v>19</v>
      </c>
      <c r="E98" s="17" t="s">
        <v>36</v>
      </c>
      <c r="F98" s="17" t="s">
        <v>37</v>
      </c>
      <c r="G98" s="17" t="s">
        <v>38</v>
      </c>
      <c r="H98" s="25" t="s">
        <v>38</v>
      </c>
      <c r="I98" s="19" t="s">
        <v>39</v>
      </c>
      <c r="J98" s="24" t="s">
        <v>215</v>
      </c>
      <c r="K98" s="21" t="b">
        <f t="shared" si="9"/>
        <v>1</v>
      </c>
      <c r="L98" s="21">
        <f t="shared" si="3"/>
        <v>0</v>
      </c>
      <c r="M98" s="21">
        <f t="array" ref="M98">IF(H98="","",SUMif(year(N$2:BO$2),M$2,N98:BO98))</f>
        <v>0</v>
      </c>
      <c r="N98" s="22">
        <v>17.0</v>
      </c>
      <c r="O98" s="22">
        <v>20.0</v>
      </c>
      <c r="P98" s="22">
        <v>21.0</v>
      </c>
      <c r="Q98" s="22">
        <v>22.0</v>
      </c>
      <c r="R98" s="22">
        <v>18.0</v>
      </c>
      <c r="S98" s="22">
        <v>19.0</v>
      </c>
      <c r="T98" s="22">
        <v>23.0</v>
      </c>
      <c r="U98" s="22">
        <v>21.0</v>
      </c>
      <c r="V98" s="22">
        <v>22.0</v>
      </c>
      <c r="W98" s="22">
        <v>23.0</v>
      </c>
      <c r="X98" s="22">
        <v>14.0</v>
      </c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</row>
    <row r="99">
      <c r="A99" s="16" t="s">
        <v>27</v>
      </c>
      <c r="B99" s="16" t="s">
        <v>216</v>
      </c>
      <c r="C99" s="17" t="s">
        <v>18</v>
      </c>
      <c r="D99" s="17" t="s">
        <v>29</v>
      </c>
      <c r="E99" s="17" t="s">
        <v>217</v>
      </c>
      <c r="F99" s="17" t="s">
        <v>218</v>
      </c>
      <c r="G99" s="17" t="s">
        <v>219</v>
      </c>
      <c r="H99" s="25" t="s">
        <v>220</v>
      </c>
      <c r="I99" s="19" t="s">
        <v>33</v>
      </c>
      <c r="J99" s="24" t="s">
        <v>221</v>
      </c>
      <c r="K99" s="21" t="b">
        <v>0</v>
      </c>
      <c r="L99" s="21">
        <f t="shared" si="3"/>
        <v>0</v>
      </c>
      <c r="M99" s="21">
        <f t="array" ref="M99">IF(H99="","",SUMif(year(N$2:BO$2),M$2,N99:BO99))</f>
        <v>0</v>
      </c>
      <c r="N99" s="22">
        <v>17.0</v>
      </c>
      <c r="O99" s="22">
        <v>20.0</v>
      </c>
      <c r="P99" s="22">
        <v>10.0</v>
      </c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3"/>
      <c r="AM99" s="23"/>
      <c r="AN99" s="3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</row>
    <row r="100">
      <c r="A100" s="16" t="s">
        <v>27</v>
      </c>
      <c r="B100" s="16" t="s">
        <v>206</v>
      </c>
      <c r="C100" s="17" t="s">
        <v>18</v>
      </c>
      <c r="D100" s="17" t="s">
        <v>29</v>
      </c>
      <c r="E100" s="17" t="s">
        <v>217</v>
      </c>
      <c r="F100" s="17" t="s">
        <v>218</v>
      </c>
      <c r="G100" s="17" t="s">
        <v>219</v>
      </c>
      <c r="H100" s="25" t="s">
        <v>220</v>
      </c>
      <c r="I100" s="19" t="s">
        <v>33</v>
      </c>
      <c r="J100" s="24" t="s">
        <v>222</v>
      </c>
      <c r="K100" s="21" t="b">
        <f t="shared" ref="K100:K102" si="10">if(H100="","",NOT(ISNA(VLOOKUP(J100,'Команда'!G:G,1,false))))</f>
        <v>1</v>
      </c>
      <c r="L100" s="21">
        <f t="shared" si="3"/>
        <v>0</v>
      </c>
      <c r="M100" s="21">
        <f t="array" ref="M100">IF(H100="","",SUMif(year(N$2:BO$2),M$2,N100:BO100))</f>
        <v>0</v>
      </c>
      <c r="N100" s="22">
        <v>17.0</v>
      </c>
      <c r="O100" s="22">
        <v>20.0</v>
      </c>
      <c r="P100" s="22">
        <v>21.0</v>
      </c>
      <c r="Q100" s="22">
        <v>22.0</v>
      </c>
      <c r="R100" s="22">
        <v>18.0</v>
      </c>
      <c r="S100" s="22">
        <v>16.0</v>
      </c>
      <c r="T100" s="22">
        <v>13.0</v>
      </c>
      <c r="U100" s="22">
        <v>16.0</v>
      </c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</row>
    <row r="101">
      <c r="A101" s="16" t="s">
        <v>27</v>
      </c>
      <c r="B101" s="16" t="s">
        <v>223</v>
      </c>
      <c r="C101" s="17" t="s">
        <v>150</v>
      </c>
      <c r="D101" s="17" t="s">
        <v>29</v>
      </c>
      <c r="E101" s="17" t="s">
        <v>68</v>
      </c>
      <c r="F101" s="17" t="s">
        <v>69</v>
      </c>
      <c r="G101" s="17" t="s">
        <v>70</v>
      </c>
      <c r="H101" s="25" t="s">
        <v>70</v>
      </c>
      <c r="I101" s="19" t="s">
        <v>71</v>
      </c>
      <c r="J101" s="24" t="s">
        <v>224</v>
      </c>
      <c r="K101" s="21" t="b">
        <f t="shared" si="10"/>
        <v>1</v>
      </c>
      <c r="L101" s="21">
        <f t="shared" si="3"/>
        <v>0</v>
      </c>
      <c r="M101" s="21">
        <f t="array" ref="M101">IF(H101="","",SUMif(year(N$2:BO$2),M$2,N101:BO101))</f>
        <v>247</v>
      </c>
      <c r="N101" s="22">
        <v>17.0</v>
      </c>
      <c r="O101" s="22">
        <v>20.0</v>
      </c>
      <c r="P101" s="22">
        <v>21.0</v>
      </c>
      <c r="Q101" s="22">
        <v>22.0</v>
      </c>
      <c r="R101" s="22">
        <v>18.0</v>
      </c>
      <c r="S101" s="22">
        <v>19.0</v>
      </c>
      <c r="T101" s="22">
        <v>23.0</v>
      </c>
      <c r="U101" s="22">
        <v>21.0</v>
      </c>
      <c r="V101" s="22">
        <v>22.0</v>
      </c>
      <c r="W101" s="22">
        <v>23.0</v>
      </c>
      <c r="X101" s="22">
        <v>19.0</v>
      </c>
      <c r="Y101" s="22">
        <v>22.0</v>
      </c>
      <c r="Z101" s="22">
        <v>15.0</v>
      </c>
      <c r="AA101" s="22">
        <v>19.0</v>
      </c>
      <c r="AB101" s="22">
        <v>21.0</v>
      </c>
      <c r="AC101" s="22">
        <v>22.0</v>
      </c>
      <c r="AD101" s="22">
        <v>19.0</v>
      </c>
      <c r="AE101" s="22">
        <v>21.0</v>
      </c>
      <c r="AF101" s="22">
        <v>23.0</v>
      </c>
      <c r="AG101" s="22">
        <v>21.0</v>
      </c>
      <c r="AH101" s="22">
        <v>22.0</v>
      </c>
      <c r="AI101" s="22">
        <v>22.0</v>
      </c>
      <c r="AJ101" s="22">
        <v>20.0</v>
      </c>
      <c r="AK101" s="22">
        <v>22.0</v>
      </c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</row>
    <row r="102">
      <c r="A102" s="16" t="s">
        <v>27</v>
      </c>
      <c r="B102" s="16" t="s">
        <v>73</v>
      </c>
      <c r="C102" s="17" t="s">
        <v>18</v>
      </c>
      <c r="D102" s="17" t="s">
        <v>29</v>
      </c>
      <c r="E102" s="17" t="s">
        <v>96</v>
      </c>
      <c r="F102" s="17" t="s">
        <v>97</v>
      </c>
      <c r="G102" s="17" t="s">
        <v>144</v>
      </c>
      <c r="H102" s="25" t="s">
        <v>144</v>
      </c>
      <c r="I102" s="19" t="s">
        <v>71</v>
      </c>
      <c r="J102" s="24" t="s">
        <v>225</v>
      </c>
      <c r="K102" s="21" t="b">
        <f t="shared" si="10"/>
        <v>1</v>
      </c>
      <c r="L102" s="21">
        <f t="shared" si="3"/>
        <v>0</v>
      </c>
      <c r="M102" s="21">
        <f t="array" ref="M102">IF(H102="","",SUMif(year(N$2:BO$2),M$2,N102:BO102))</f>
        <v>247</v>
      </c>
      <c r="N102" s="22"/>
      <c r="O102" s="22"/>
      <c r="P102" s="22">
        <v>19.0</v>
      </c>
      <c r="Q102" s="22">
        <v>22.0</v>
      </c>
      <c r="R102" s="22">
        <v>18.0</v>
      </c>
      <c r="S102" s="22">
        <v>19.0</v>
      </c>
      <c r="T102" s="22">
        <v>23.0</v>
      </c>
      <c r="U102" s="22">
        <v>21.0</v>
      </c>
      <c r="V102" s="22">
        <v>22.0</v>
      </c>
      <c r="W102" s="22">
        <v>23.0</v>
      </c>
      <c r="X102" s="22">
        <v>19.0</v>
      </c>
      <c r="Y102" s="22">
        <v>22.0</v>
      </c>
      <c r="Z102" s="22">
        <v>15.0</v>
      </c>
      <c r="AA102" s="22">
        <v>19.0</v>
      </c>
      <c r="AB102" s="22">
        <v>21.0</v>
      </c>
      <c r="AC102" s="22">
        <v>22.0</v>
      </c>
      <c r="AD102" s="22">
        <v>19.0</v>
      </c>
      <c r="AE102" s="22">
        <v>21.0</v>
      </c>
      <c r="AF102" s="22">
        <v>23.0</v>
      </c>
      <c r="AG102" s="22">
        <v>21.0</v>
      </c>
      <c r="AH102" s="22">
        <v>22.0</v>
      </c>
      <c r="AI102" s="22">
        <v>22.0</v>
      </c>
      <c r="AJ102" s="22">
        <v>20.0</v>
      </c>
      <c r="AK102" s="22">
        <v>22.0</v>
      </c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</row>
    <row r="103">
      <c r="A103" s="16" t="s">
        <v>27</v>
      </c>
      <c r="B103" s="16" t="s">
        <v>173</v>
      </c>
      <c r="C103" s="17" t="s">
        <v>18</v>
      </c>
      <c r="D103" s="17" t="s">
        <v>29</v>
      </c>
      <c r="E103" s="17" t="s">
        <v>226</v>
      </c>
      <c r="F103" s="17" t="s">
        <v>227</v>
      </c>
      <c r="G103" s="17" t="s">
        <v>228</v>
      </c>
      <c r="H103" s="25" t="s">
        <v>228</v>
      </c>
      <c r="I103" s="19" t="s">
        <v>229</v>
      </c>
      <c r="J103" s="24" t="s">
        <v>230</v>
      </c>
      <c r="K103" s="21" t="b">
        <v>1</v>
      </c>
      <c r="L103" s="21">
        <f t="shared" si="3"/>
        <v>0</v>
      </c>
      <c r="M103" s="21">
        <f t="array" ref="M103">IF(H103="","",SUMif(year(N$2:BO$2),M$2,N103:BO103))</f>
        <v>34</v>
      </c>
      <c r="N103" s="22">
        <v>7.0</v>
      </c>
      <c r="O103" s="22">
        <v>20.0</v>
      </c>
      <c r="P103" s="22">
        <v>21.0</v>
      </c>
      <c r="Q103" s="22">
        <v>22.0</v>
      </c>
      <c r="R103" s="22">
        <v>18.0</v>
      </c>
      <c r="S103" s="22">
        <v>18.0</v>
      </c>
      <c r="T103" s="22">
        <v>19.0</v>
      </c>
      <c r="U103" s="22">
        <v>21.0</v>
      </c>
      <c r="V103" s="22">
        <v>15.0</v>
      </c>
      <c r="W103" s="22">
        <v>23.0</v>
      </c>
      <c r="X103" s="22">
        <v>19.0</v>
      </c>
      <c r="Y103" s="22">
        <v>22.0</v>
      </c>
      <c r="Z103" s="22">
        <v>15.0</v>
      </c>
      <c r="AA103" s="22">
        <v>19.0</v>
      </c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</row>
    <row r="104">
      <c r="A104" s="16" t="s">
        <v>27</v>
      </c>
      <c r="B104" s="16" t="s">
        <v>231</v>
      </c>
      <c r="C104" s="17" t="s">
        <v>156</v>
      </c>
      <c r="D104" s="17" t="s">
        <v>29</v>
      </c>
      <c r="E104" s="17" t="s">
        <v>79</v>
      </c>
      <c r="F104" s="17" t="s">
        <v>80</v>
      </c>
      <c r="G104" s="17" t="s">
        <v>232</v>
      </c>
      <c r="H104" s="25" t="s">
        <v>232</v>
      </c>
      <c r="I104" s="19" t="s">
        <v>65</v>
      </c>
      <c r="J104" s="24" t="s">
        <v>233</v>
      </c>
      <c r="K104" s="21" t="b">
        <f t="shared" ref="K104:K148" si="11">if(H104="","",NOT(ISNA(VLOOKUP(J104,'Команда'!G:G,1,false))))</f>
        <v>1</v>
      </c>
      <c r="L104" s="21">
        <f t="shared" si="3"/>
        <v>0</v>
      </c>
      <c r="M104" s="21">
        <f t="array" ref="M104">IF(H104="","",SUMif(year(N$2:BO$2),M$2,N104:BO104))</f>
        <v>55</v>
      </c>
      <c r="N104" s="22">
        <v>17.0</v>
      </c>
      <c r="O104" s="22">
        <v>20.0</v>
      </c>
      <c r="P104" s="22">
        <v>18.88</v>
      </c>
      <c r="Q104" s="22">
        <v>14.0</v>
      </c>
      <c r="R104" s="22">
        <v>18.0</v>
      </c>
      <c r="S104" s="22">
        <v>18.7</v>
      </c>
      <c r="T104" s="22">
        <v>23.0</v>
      </c>
      <c r="U104" s="22">
        <v>21.0</v>
      </c>
      <c r="V104" s="22">
        <v>21.0</v>
      </c>
      <c r="W104" s="22">
        <v>13.0</v>
      </c>
      <c r="X104" s="22">
        <v>19.0</v>
      </c>
      <c r="Y104" s="22">
        <v>22.0</v>
      </c>
      <c r="Z104" s="22">
        <v>15.0</v>
      </c>
      <c r="AA104" s="22">
        <v>19.0</v>
      </c>
      <c r="AB104" s="22">
        <v>21.0</v>
      </c>
      <c r="AC104" s="22"/>
      <c r="AD104" s="22"/>
      <c r="AE104" s="22"/>
      <c r="AF104" s="22"/>
      <c r="AG104" s="22"/>
      <c r="AH104" s="22"/>
      <c r="AI104" s="22"/>
      <c r="AJ104" s="22"/>
      <c r="AK104" s="22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</row>
    <row r="105">
      <c r="A105" s="16" t="s">
        <v>27</v>
      </c>
      <c r="B105" s="16" t="s">
        <v>60</v>
      </c>
      <c r="C105" s="17" t="s">
        <v>156</v>
      </c>
      <c r="D105" s="17" t="s">
        <v>29</v>
      </c>
      <c r="E105" s="17" t="s">
        <v>79</v>
      </c>
      <c r="F105" s="17" t="s">
        <v>80</v>
      </c>
      <c r="G105" s="17" t="s">
        <v>232</v>
      </c>
      <c r="H105" s="25" t="s">
        <v>232</v>
      </c>
      <c r="I105" s="19" t="s">
        <v>65</v>
      </c>
      <c r="J105" s="24" t="s">
        <v>234</v>
      </c>
      <c r="K105" s="21" t="b">
        <f t="shared" si="11"/>
        <v>1</v>
      </c>
      <c r="L105" s="21">
        <f t="shared" si="3"/>
        <v>0</v>
      </c>
      <c r="M105" s="21">
        <f t="array" ref="M105">IF(H105="","",SUMif(year(N$2:BO$2),M$2,N105:BO105))</f>
        <v>55</v>
      </c>
      <c r="N105" s="22">
        <v>17.0</v>
      </c>
      <c r="O105" s="22">
        <v>20.0</v>
      </c>
      <c r="P105" s="22">
        <v>21.0</v>
      </c>
      <c r="Q105" s="22">
        <v>21.88</v>
      </c>
      <c r="R105" s="22">
        <v>16.0</v>
      </c>
      <c r="S105" s="22">
        <v>9.0</v>
      </c>
      <c r="T105" s="22">
        <v>23.0</v>
      </c>
      <c r="U105" s="22">
        <v>21.0</v>
      </c>
      <c r="V105" s="22">
        <v>21.0</v>
      </c>
      <c r="W105" s="22">
        <v>23.0</v>
      </c>
      <c r="X105" s="22">
        <v>19.0</v>
      </c>
      <c r="Y105" s="22">
        <v>22.0</v>
      </c>
      <c r="Z105" s="22">
        <v>15.0</v>
      </c>
      <c r="AA105" s="22">
        <v>19.0</v>
      </c>
      <c r="AB105" s="22">
        <v>21.0</v>
      </c>
      <c r="AC105" s="22"/>
      <c r="AD105" s="22"/>
      <c r="AE105" s="22"/>
      <c r="AF105" s="22"/>
      <c r="AG105" s="22"/>
      <c r="AH105" s="22"/>
      <c r="AI105" s="22"/>
      <c r="AJ105" s="22"/>
      <c r="AK105" s="22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</row>
    <row r="106">
      <c r="A106" s="16" t="s">
        <v>27</v>
      </c>
      <c r="B106" s="16" t="s">
        <v>231</v>
      </c>
      <c r="C106" s="17" t="s">
        <v>156</v>
      </c>
      <c r="D106" s="17" t="s">
        <v>29</v>
      </c>
      <c r="E106" s="17" t="s">
        <v>161</v>
      </c>
      <c r="F106" s="17" t="s">
        <v>162</v>
      </c>
      <c r="G106" s="17" t="s">
        <v>235</v>
      </c>
      <c r="H106" s="25" t="s">
        <v>236</v>
      </c>
      <c r="I106" s="19" t="s">
        <v>65</v>
      </c>
      <c r="J106" s="24" t="s">
        <v>237</v>
      </c>
      <c r="K106" s="21" t="b">
        <f t="shared" si="11"/>
        <v>1</v>
      </c>
      <c r="L106" s="21">
        <f t="shared" si="3"/>
        <v>0</v>
      </c>
      <c r="M106" s="21">
        <f t="array" ref="M106">IF(H106="","",SUMif(year(N$2:BO$2),M$2,N106:BO106))</f>
        <v>55</v>
      </c>
      <c r="N106" s="22"/>
      <c r="O106" s="22"/>
      <c r="P106" s="22"/>
      <c r="Q106" s="22"/>
      <c r="R106" s="22"/>
      <c r="S106" s="22"/>
      <c r="T106" s="22"/>
      <c r="U106" s="22">
        <v>4.0</v>
      </c>
      <c r="V106" s="22">
        <v>17.0</v>
      </c>
      <c r="W106" s="22">
        <v>16.0</v>
      </c>
      <c r="X106" s="22">
        <v>14.0</v>
      </c>
      <c r="Y106" s="22">
        <v>22.0</v>
      </c>
      <c r="Z106" s="22">
        <v>15.0</v>
      </c>
      <c r="AA106" s="22">
        <v>19.0</v>
      </c>
      <c r="AB106" s="22">
        <v>21.0</v>
      </c>
      <c r="AC106" s="22"/>
      <c r="AD106" s="22"/>
      <c r="AE106" s="22"/>
      <c r="AF106" s="22"/>
      <c r="AG106" s="22"/>
      <c r="AH106" s="22"/>
      <c r="AI106" s="22"/>
      <c r="AJ106" s="22"/>
      <c r="AK106" s="22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</row>
    <row r="107">
      <c r="A107" s="16" t="s">
        <v>27</v>
      </c>
      <c r="B107" s="16" t="s">
        <v>89</v>
      </c>
      <c r="C107" s="17" t="s">
        <v>18</v>
      </c>
      <c r="D107" s="17" t="s">
        <v>29</v>
      </c>
      <c r="E107" s="17" t="s">
        <v>83</v>
      </c>
      <c r="F107" s="17" t="s">
        <v>84</v>
      </c>
      <c r="G107" s="17" t="s">
        <v>85</v>
      </c>
      <c r="H107" s="25" t="s">
        <v>86</v>
      </c>
      <c r="I107" s="19" t="s">
        <v>82</v>
      </c>
      <c r="J107" s="24" t="s">
        <v>238</v>
      </c>
      <c r="K107" s="21" t="b">
        <f t="shared" si="11"/>
        <v>1</v>
      </c>
      <c r="L107" s="21">
        <f t="shared" si="3"/>
        <v>0</v>
      </c>
      <c r="M107" s="21">
        <f t="array" ref="M107">IF(H107="","",SUMif(year(N$2:BO$2),M$2,N107:BO107))</f>
        <v>77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>
        <v>3.0</v>
      </c>
      <c r="X107" s="22">
        <v>19.0</v>
      </c>
      <c r="Y107" s="22">
        <v>22.0</v>
      </c>
      <c r="Z107" s="28">
        <v>15.0</v>
      </c>
      <c r="AA107" s="29">
        <v>19.0</v>
      </c>
      <c r="AB107" s="30">
        <v>21.0</v>
      </c>
      <c r="AC107" s="31">
        <v>22.0</v>
      </c>
      <c r="AD107" s="22"/>
      <c r="AE107" s="22"/>
      <c r="AF107" s="22"/>
      <c r="AG107" s="22"/>
      <c r="AH107" s="22"/>
      <c r="AI107" s="22"/>
      <c r="AJ107" s="22"/>
      <c r="AK107" s="22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</row>
    <row r="108">
      <c r="A108" s="16" t="s">
        <v>27</v>
      </c>
      <c r="B108" s="16" t="s">
        <v>239</v>
      </c>
      <c r="C108" s="17" t="s">
        <v>18</v>
      </c>
      <c r="D108" s="17" t="s">
        <v>29</v>
      </c>
      <c r="E108" s="17" t="s">
        <v>161</v>
      </c>
      <c r="F108" s="17" t="s">
        <v>162</v>
      </c>
      <c r="G108" s="17" t="s">
        <v>163</v>
      </c>
      <c r="H108" s="25" t="s">
        <v>164</v>
      </c>
      <c r="I108" s="19" t="s">
        <v>65</v>
      </c>
      <c r="J108" s="24" t="s">
        <v>240</v>
      </c>
      <c r="K108" s="21" t="b">
        <f t="shared" si="11"/>
        <v>1</v>
      </c>
      <c r="L108" s="21">
        <f t="shared" si="3"/>
        <v>0</v>
      </c>
      <c r="M108" s="21">
        <f t="array" ref="M108">IF(H108="","",SUMif(year(N$2:BO$2),M$2,N108:BO108))</f>
        <v>55</v>
      </c>
      <c r="N108" s="22"/>
      <c r="O108" s="22"/>
      <c r="P108" s="22"/>
      <c r="Q108" s="26"/>
      <c r="R108" s="22"/>
      <c r="S108" s="22"/>
      <c r="T108" s="22"/>
      <c r="U108" s="22"/>
      <c r="V108" s="22">
        <v>10.0</v>
      </c>
      <c r="W108" s="22">
        <v>23.0</v>
      </c>
      <c r="X108" s="22">
        <v>19.0</v>
      </c>
      <c r="Y108" s="22">
        <v>22.0</v>
      </c>
      <c r="Z108" s="22">
        <v>15.0</v>
      </c>
      <c r="AA108" s="22">
        <v>19.0</v>
      </c>
      <c r="AB108" s="22">
        <v>21.0</v>
      </c>
      <c r="AC108" s="22"/>
      <c r="AD108" s="22"/>
      <c r="AE108" s="22"/>
      <c r="AF108" s="22"/>
      <c r="AG108" s="22"/>
      <c r="AH108" s="22"/>
      <c r="AI108" s="22"/>
      <c r="AJ108" s="22"/>
      <c r="AK108" s="22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</row>
    <row r="109">
      <c r="A109" s="16" t="s">
        <v>27</v>
      </c>
      <c r="B109" s="16" t="s">
        <v>180</v>
      </c>
      <c r="C109" s="17" t="s">
        <v>18</v>
      </c>
      <c r="D109" s="17" t="s">
        <v>29</v>
      </c>
      <c r="E109" s="17" t="s">
        <v>46</v>
      </c>
      <c r="F109" s="17" t="s">
        <v>47</v>
      </c>
      <c r="G109" s="17" t="s">
        <v>241</v>
      </c>
      <c r="H109" s="25" t="s">
        <v>241</v>
      </c>
      <c r="I109" s="19" t="s">
        <v>33</v>
      </c>
      <c r="J109" s="24" t="s">
        <v>242</v>
      </c>
      <c r="K109" s="21" t="b">
        <f t="shared" si="11"/>
        <v>1</v>
      </c>
      <c r="L109" s="21">
        <f t="shared" si="3"/>
        <v>0</v>
      </c>
      <c r="M109" s="21">
        <f t="array" ref="M109">IF(H109="","",SUMif(year(N$2:BO$2),M$2,N109:BO109))</f>
        <v>0</v>
      </c>
      <c r="N109" s="22"/>
      <c r="O109" s="22"/>
      <c r="P109" s="22">
        <v>14.0</v>
      </c>
      <c r="Q109" s="22">
        <v>22.0</v>
      </c>
      <c r="R109" s="22">
        <v>18.0</v>
      </c>
      <c r="S109" s="22">
        <v>19.0</v>
      </c>
      <c r="T109" s="22">
        <v>21.0</v>
      </c>
      <c r="U109" s="22">
        <v>21.0</v>
      </c>
      <c r="V109" s="22">
        <v>22.0</v>
      </c>
      <c r="W109" s="22">
        <v>13.0</v>
      </c>
      <c r="X109" s="22">
        <v>19.0</v>
      </c>
      <c r="Y109" s="22">
        <v>8.0</v>
      </c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</row>
    <row r="110">
      <c r="A110" s="16" t="s">
        <v>27</v>
      </c>
      <c r="B110" s="16" t="s">
        <v>123</v>
      </c>
      <c r="C110" s="17" t="s">
        <v>18</v>
      </c>
      <c r="D110" s="17" t="s">
        <v>29</v>
      </c>
      <c r="E110" s="17" t="s">
        <v>217</v>
      </c>
      <c r="F110" s="17" t="s">
        <v>218</v>
      </c>
      <c r="G110" s="17" t="s">
        <v>219</v>
      </c>
      <c r="H110" s="25" t="s">
        <v>220</v>
      </c>
      <c r="I110" s="19" t="s">
        <v>33</v>
      </c>
      <c r="J110" s="24" t="s">
        <v>125</v>
      </c>
      <c r="K110" s="21" t="b">
        <f t="shared" si="11"/>
        <v>1</v>
      </c>
      <c r="L110" s="21">
        <f t="shared" si="3"/>
        <v>0</v>
      </c>
      <c r="M110" s="21">
        <f t="array" ref="M110">IF(H110="","",SUMif(year(N$2:BO$2),M$2,N110:BO110))</f>
        <v>0</v>
      </c>
      <c r="N110" s="22"/>
      <c r="O110" s="22"/>
      <c r="P110" s="22">
        <v>5.0</v>
      </c>
      <c r="Q110" s="22">
        <v>22.0</v>
      </c>
      <c r="R110" s="22">
        <v>18.0</v>
      </c>
      <c r="S110" s="22">
        <v>19.0</v>
      </c>
      <c r="T110" s="22">
        <v>23.0</v>
      </c>
      <c r="U110" s="22">
        <v>21.0</v>
      </c>
      <c r="V110" s="22">
        <v>9.0</v>
      </c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</row>
    <row r="111">
      <c r="A111" s="16" t="s">
        <v>27</v>
      </c>
      <c r="B111" s="16" t="s">
        <v>73</v>
      </c>
      <c r="C111" s="17" t="s">
        <v>18</v>
      </c>
      <c r="D111" s="17" t="s">
        <v>29</v>
      </c>
      <c r="E111" s="17" t="s">
        <v>96</v>
      </c>
      <c r="F111" s="17" t="s">
        <v>97</v>
      </c>
      <c r="G111" s="17" t="s">
        <v>144</v>
      </c>
      <c r="H111" s="25" t="s">
        <v>144</v>
      </c>
      <c r="I111" s="19" t="s">
        <v>71</v>
      </c>
      <c r="J111" s="24" t="s">
        <v>243</v>
      </c>
      <c r="K111" s="21" t="b">
        <f t="shared" si="11"/>
        <v>1</v>
      </c>
      <c r="L111" s="21">
        <f t="shared" si="3"/>
        <v>0</v>
      </c>
      <c r="M111" s="21">
        <f t="array" ref="M111">IF(H111="","",SUMif(year(N$2:BO$2),M$2,N111:BO111))</f>
        <v>247</v>
      </c>
      <c r="N111" s="22"/>
      <c r="O111" s="22"/>
      <c r="P111" s="22">
        <v>6.0</v>
      </c>
      <c r="Q111" s="22">
        <v>22.0</v>
      </c>
      <c r="R111" s="22">
        <v>18.0</v>
      </c>
      <c r="S111" s="22">
        <v>19.0</v>
      </c>
      <c r="T111" s="22">
        <v>23.0</v>
      </c>
      <c r="U111" s="22">
        <v>21.0</v>
      </c>
      <c r="V111" s="22">
        <v>22.0</v>
      </c>
      <c r="W111" s="22">
        <v>23.0</v>
      </c>
      <c r="X111" s="22">
        <v>19.0</v>
      </c>
      <c r="Y111" s="22">
        <v>22.0</v>
      </c>
      <c r="Z111" s="22">
        <v>15.0</v>
      </c>
      <c r="AA111" s="22">
        <v>19.0</v>
      </c>
      <c r="AB111" s="22">
        <v>21.0</v>
      </c>
      <c r="AC111" s="22">
        <v>22.0</v>
      </c>
      <c r="AD111" s="22">
        <v>19.0</v>
      </c>
      <c r="AE111" s="22">
        <v>21.0</v>
      </c>
      <c r="AF111" s="22">
        <v>23.0</v>
      </c>
      <c r="AG111" s="22">
        <v>21.0</v>
      </c>
      <c r="AH111" s="22">
        <v>22.0</v>
      </c>
      <c r="AI111" s="22">
        <v>22.0</v>
      </c>
      <c r="AJ111" s="22">
        <v>20.0</v>
      </c>
      <c r="AK111" s="22">
        <v>22.0</v>
      </c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</row>
    <row r="112">
      <c r="A112" s="16" t="s">
        <v>27</v>
      </c>
      <c r="B112" s="16" t="s">
        <v>173</v>
      </c>
      <c r="C112" s="17" t="s">
        <v>18</v>
      </c>
      <c r="D112" s="17" t="s">
        <v>29</v>
      </c>
      <c r="E112" s="17" t="s">
        <v>61</v>
      </c>
      <c r="F112" s="17" t="s">
        <v>62</v>
      </c>
      <c r="G112" s="17" t="s">
        <v>244</v>
      </c>
      <c r="H112" s="25" t="s">
        <v>244</v>
      </c>
      <c r="I112" s="19" t="s">
        <v>65</v>
      </c>
      <c r="J112" s="24" t="s">
        <v>245</v>
      </c>
      <c r="K112" s="21" t="b">
        <f t="shared" si="11"/>
        <v>1</v>
      </c>
      <c r="L112" s="21">
        <f t="shared" si="3"/>
        <v>0</v>
      </c>
      <c r="M112" s="21">
        <f t="array" ref="M112">IF(H112="","",SUMif(year(N$2:BO$2),M$2,N112:BO112))</f>
        <v>247</v>
      </c>
      <c r="N112" s="22">
        <v>17.0</v>
      </c>
      <c r="O112" s="22">
        <v>18.0</v>
      </c>
      <c r="P112" s="22">
        <v>20.91</v>
      </c>
      <c r="Q112" s="22">
        <v>13.5</v>
      </c>
      <c r="R112" s="22">
        <v>18.15</v>
      </c>
      <c r="S112" s="22">
        <v>19.03</v>
      </c>
      <c r="T112" s="22">
        <v>22.75</v>
      </c>
      <c r="U112" s="22">
        <v>19.24</v>
      </c>
      <c r="V112" s="22">
        <v>16.0</v>
      </c>
      <c r="W112" s="22">
        <v>22.0</v>
      </c>
      <c r="X112" s="22">
        <v>19.0</v>
      </c>
      <c r="Y112" s="22">
        <v>22.0</v>
      </c>
      <c r="Z112" s="22">
        <v>15.0</v>
      </c>
      <c r="AA112" s="22">
        <v>19.0</v>
      </c>
      <c r="AB112" s="22">
        <v>21.0</v>
      </c>
      <c r="AC112" s="22">
        <v>22.0</v>
      </c>
      <c r="AD112" s="22">
        <v>19.0</v>
      </c>
      <c r="AE112" s="22">
        <v>21.0</v>
      </c>
      <c r="AF112" s="22">
        <v>23.0</v>
      </c>
      <c r="AG112" s="22">
        <v>21.0</v>
      </c>
      <c r="AH112" s="22">
        <v>22.0</v>
      </c>
      <c r="AI112" s="22">
        <v>22.0</v>
      </c>
      <c r="AJ112" s="22">
        <v>20.0</v>
      </c>
      <c r="AK112" s="22">
        <v>22.0</v>
      </c>
      <c r="AL112" s="23"/>
      <c r="AM112" s="23"/>
      <c r="AN112" s="34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</row>
    <row r="113">
      <c r="A113" s="16" t="s">
        <v>27</v>
      </c>
      <c r="B113" s="16" t="s">
        <v>28</v>
      </c>
      <c r="C113" s="17" t="s">
        <v>18</v>
      </c>
      <c r="D113" s="17" t="s">
        <v>29</v>
      </c>
      <c r="E113" s="17" t="s">
        <v>30</v>
      </c>
      <c r="F113" s="17" t="s">
        <v>31</v>
      </c>
      <c r="G113" s="17" t="s">
        <v>32</v>
      </c>
      <c r="H113" s="25" t="s">
        <v>32</v>
      </c>
      <c r="I113" s="19" t="s">
        <v>33</v>
      </c>
      <c r="J113" s="24" t="s">
        <v>246</v>
      </c>
      <c r="K113" s="21" t="b">
        <f t="shared" si="11"/>
        <v>1</v>
      </c>
      <c r="L113" s="21">
        <f t="shared" si="3"/>
        <v>0</v>
      </c>
      <c r="M113" s="21">
        <f t="array" ref="M113">IF(H113="","",SUMif(year(N$2:BO$2),M$2,N113:BO113))</f>
        <v>0</v>
      </c>
      <c r="N113" s="22"/>
      <c r="O113" s="22">
        <v>4.0</v>
      </c>
      <c r="P113" s="22">
        <v>21.0</v>
      </c>
      <c r="Q113" s="22">
        <v>22.0</v>
      </c>
      <c r="R113" s="22">
        <v>18.0</v>
      </c>
      <c r="S113" s="22">
        <v>19.0</v>
      </c>
      <c r="T113" s="22">
        <v>10.0</v>
      </c>
      <c r="U113" s="22">
        <v>21.0</v>
      </c>
      <c r="V113" s="22">
        <v>22.0</v>
      </c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</row>
    <row r="114">
      <c r="A114" s="16" t="s">
        <v>16</v>
      </c>
      <c r="B114" s="16" t="s">
        <v>247</v>
      </c>
      <c r="C114" s="17" t="s">
        <v>18</v>
      </c>
      <c r="D114" s="17" t="s">
        <v>19</v>
      </c>
      <c r="E114" s="17" t="s">
        <v>248</v>
      </c>
      <c r="F114" s="17" t="s">
        <v>248</v>
      </c>
      <c r="G114" s="17" t="s">
        <v>249</v>
      </c>
      <c r="H114" s="25" t="s">
        <v>250</v>
      </c>
      <c r="I114" s="19" t="s">
        <v>23</v>
      </c>
      <c r="J114" s="24" t="s">
        <v>76</v>
      </c>
      <c r="K114" s="21" t="b">
        <f t="shared" si="11"/>
        <v>1</v>
      </c>
      <c r="L114" s="21">
        <f t="shared" si="3"/>
        <v>0</v>
      </c>
      <c r="M114" s="21">
        <f t="array" ref="M114">IF(H114="","",SUMif(year(N$2:BO$2),M$2,N114:BO114))</f>
        <v>0</v>
      </c>
      <c r="N114" s="22">
        <v>10.2</v>
      </c>
      <c r="O114" s="22">
        <v>10.0</v>
      </c>
      <c r="P114" s="22">
        <v>11.8</v>
      </c>
      <c r="Q114" s="22">
        <v>8.4</v>
      </c>
      <c r="R114" s="22">
        <v>3.6</v>
      </c>
      <c r="S114" s="22">
        <v>4.2</v>
      </c>
      <c r="T114" s="22">
        <v>3.9</v>
      </c>
      <c r="U114" s="22">
        <v>2.3</v>
      </c>
      <c r="V114" s="22">
        <v>4.8</v>
      </c>
      <c r="W114" s="22">
        <v>5.75</v>
      </c>
      <c r="X114" s="22">
        <v>4.75</v>
      </c>
      <c r="Y114" s="22">
        <v>5.5</v>
      </c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</row>
    <row r="115">
      <c r="A115" s="16" t="s">
        <v>16</v>
      </c>
      <c r="B115" s="16" t="s">
        <v>53</v>
      </c>
      <c r="C115" s="17" t="s">
        <v>18</v>
      </c>
      <c r="D115" s="17" t="s">
        <v>19</v>
      </c>
      <c r="E115" s="17" t="s">
        <v>248</v>
      </c>
      <c r="F115" s="17" t="s">
        <v>248</v>
      </c>
      <c r="G115" s="17" t="s">
        <v>249</v>
      </c>
      <c r="H115" s="25" t="s">
        <v>250</v>
      </c>
      <c r="I115" s="19" t="s">
        <v>23</v>
      </c>
      <c r="J115" s="24" t="s">
        <v>77</v>
      </c>
      <c r="K115" s="21" t="b">
        <f t="shared" si="11"/>
        <v>1</v>
      </c>
      <c r="L115" s="21">
        <f t="shared" si="3"/>
        <v>0</v>
      </c>
      <c r="M115" s="21">
        <f t="array" ref="M115">IF(H115="","",SUMif(year(N$2:BO$2),M$2,N115:BO115))</f>
        <v>0</v>
      </c>
      <c r="N115" s="22">
        <v>3.13</v>
      </c>
      <c r="O115" s="22">
        <v>1.13</v>
      </c>
      <c r="P115" s="22">
        <v>2.5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</row>
    <row r="116">
      <c r="A116" s="16" t="s">
        <v>27</v>
      </c>
      <c r="B116" s="16" t="s">
        <v>41</v>
      </c>
      <c r="C116" s="17" t="s">
        <v>18</v>
      </c>
      <c r="D116" s="17" t="s">
        <v>19</v>
      </c>
      <c r="E116" s="17" t="s">
        <v>20</v>
      </c>
      <c r="F116" s="17" t="s">
        <v>21</v>
      </c>
      <c r="G116" s="17" t="s">
        <v>22</v>
      </c>
      <c r="H116" s="25" t="s">
        <v>22</v>
      </c>
      <c r="I116" s="19" t="s">
        <v>23</v>
      </c>
      <c r="J116" s="24" t="s">
        <v>44</v>
      </c>
      <c r="K116" s="21" t="b">
        <f t="shared" si="11"/>
        <v>1</v>
      </c>
      <c r="L116" s="21">
        <f t="shared" si="3"/>
        <v>0</v>
      </c>
      <c r="M116" s="21">
        <f t="array" ref="M116">IF(H116="","",SUMif(year(N$2:BO$2),M$2,N116:BO116))</f>
        <v>0</v>
      </c>
      <c r="N116" s="22">
        <v>6.3</v>
      </c>
      <c r="O116" s="22">
        <v>2.6</v>
      </c>
      <c r="P116" s="22">
        <v>3.0</v>
      </c>
      <c r="Q116" s="22">
        <v>1.0</v>
      </c>
      <c r="R116" s="22">
        <v>0.4</v>
      </c>
      <c r="S116" s="22">
        <v>8.55</v>
      </c>
      <c r="T116" s="22">
        <v>22.3</v>
      </c>
      <c r="U116" s="22">
        <v>13.0</v>
      </c>
      <c r="V116" s="22">
        <v>20.2</v>
      </c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</row>
    <row r="117">
      <c r="A117" s="16" t="s">
        <v>27</v>
      </c>
      <c r="B117" s="16" t="s">
        <v>251</v>
      </c>
      <c r="C117" s="17" t="s">
        <v>18</v>
      </c>
      <c r="D117" s="17" t="s">
        <v>19</v>
      </c>
      <c r="E117" s="17" t="s">
        <v>20</v>
      </c>
      <c r="F117" s="17" t="s">
        <v>21</v>
      </c>
      <c r="G117" s="17" t="s">
        <v>22</v>
      </c>
      <c r="H117" s="25" t="s">
        <v>22</v>
      </c>
      <c r="I117" s="19" t="s">
        <v>23</v>
      </c>
      <c r="J117" s="24" t="s">
        <v>169</v>
      </c>
      <c r="K117" s="21" t="b">
        <f t="shared" si="11"/>
        <v>1</v>
      </c>
      <c r="L117" s="21">
        <f t="shared" si="3"/>
        <v>0</v>
      </c>
      <c r="M117" s="21">
        <f t="array" ref="M117">IF(H117="","",SUMif(year(N$2:BO$2),M$2,N117:BO117))</f>
        <v>0</v>
      </c>
      <c r="N117" s="22">
        <v>11.0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</row>
    <row r="118">
      <c r="A118" s="16" t="s">
        <v>27</v>
      </c>
      <c r="B118" s="16" t="s">
        <v>121</v>
      </c>
      <c r="C118" s="17" t="s">
        <v>18</v>
      </c>
      <c r="D118" s="17" t="s">
        <v>19</v>
      </c>
      <c r="E118" s="17" t="s">
        <v>20</v>
      </c>
      <c r="F118" s="17" t="s">
        <v>42</v>
      </c>
      <c r="G118" s="17" t="s">
        <v>43</v>
      </c>
      <c r="H118" s="25" t="s">
        <v>43</v>
      </c>
      <c r="I118" s="19" t="s">
        <v>23</v>
      </c>
      <c r="J118" s="24" t="s">
        <v>252</v>
      </c>
      <c r="K118" s="21" t="b">
        <f t="shared" si="11"/>
        <v>1</v>
      </c>
      <c r="L118" s="21">
        <f t="shared" si="3"/>
        <v>0</v>
      </c>
      <c r="M118" s="21">
        <f t="array" ref="M118">IF(H118="","",SUMif(year(N$2:BO$2),M$2,N118:BO118))</f>
        <v>0</v>
      </c>
      <c r="N118" s="22">
        <v>1.38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</row>
    <row r="119">
      <c r="A119" s="16" t="s">
        <v>27</v>
      </c>
      <c r="B119" s="16" t="s">
        <v>121</v>
      </c>
      <c r="C119" s="17" t="s">
        <v>18</v>
      </c>
      <c r="D119" s="17" t="s">
        <v>19</v>
      </c>
      <c r="E119" s="17" t="s">
        <v>20</v>
      </c>
      <c r="F119" s="17" t="s">
        <v>21</v>
      </c>
      <c r="G119" s="17" t="s">
        <v>22</v>
      </c>
      <c r="H119" s="25" t="s">
        <v>22</v>
      </c>
      <c r="I119" s="19" t="s">
        <v>23</v>
      </c>
      <c r="J119" s="24" t="s">
        <v>252</v>
      </c>
      <c r="K119" s="21" t="b">
        <f t="shared" si="11"/>
        <v>1</v>
      </c>
      <c r="L119" s="21">
        <f t="shared" si="3"/>
        <v>0</v>
      </c>
      <c r="M119" s="21">
        <f t="array" ref="M119">IF(H119="","",SUMif(year(N$2:BO$2),M$2,N119:BO119))</f>
        <v>0</v>
      </c>
      <c r="N119" s="22">
        <v>5.53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3"/>
      <c r="AM119" s="23"/>
      <c r="AN119" s="3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</row>
    <row r="120">
      <c r="A120" s="16" t="s">
        <v>16</v>
      </c>
      <c r="B120" s="16" t="s">
        <v>17</v>
      </c>
      <c r="C120" s="17" t="s">
        <v>18</v>
      </c>
      <c r="D120" s="17" t="s">
        <v>19</v>
      </c>
      <c r="E120" s="17" t="s">
        <v>20</v>
      </c>
      <c r="F120" s="17" t="s">
        <v>21</v>
      </c>
      <c r="G120" s="17" t="s">
        <v>22</v>
      </c>
      <c r="H120" s="25" t="s">
        <v>22</v>
      </c>
      <c r="I120" s="19" t="s">
        <v>23</v>
      </c>
      <c r="J120" s="24" t="s">
        <v>131</v>
      </c>
      <c r="K120" s="21" t="b">
        <f t="shared" si="11"/>
        <v>1</v>
      </c>
      <c r="L120" s="21">
        <f t="shared" si="3"/>
        <v>0</v>
      </c>
      <c r="M120" s="21">
        <f t="array" ref="M120">IF(H120="","",SUMif(year(N$2:BO$2),M$2,N120:BO120))</f>
        <v>0</v>
      </c>
      <c r="N120" s="22"/>
      <c r="O120" s="22"/>
      <c r="P120" s="22">
        <v>1.2</v>
      </c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</row>
    <row r="121">
      <c r="A121" s="16" t="s">
        <v>16</v>
      </c>
      <c r="B121" s="16" t="s">
        <v>75</v>
      </c>
      <c r="C121" s="17" t="s">
        <v>18</v>
      </c>
      <c r="D121" s="17" t="s">
        <v>19</v>
      </c>
      <c r="E121" s="17" t="s">
        <v>20</v>
      </c>
      <c r="F121" s="17" t="s">
        <v>42</v>
      </c>
      <c r="G121" s="17" t="s">
        <v>43</v>
      </c>
      <c r="H121" s="25" t="s">
        <v>43</v>
      </c>
      <c r="I121" s="19" t="s">
        <v>23</v>
      </c>
      <c r="J121" s="24" t="s">
        <v>76</v>
      </c>
      <c r="K121" s="21" t="b">
        <f t="shared" si="11"/>
        <v>1</v>
      </c>
      <c r="L121" s="21">
        <f t="shared" si="3"/>
        <v>0</v>
      </c>
      <c r="M121" s="21">
        <f t="array" ref="M121">IF(H121="","",SUMif(year(N$2:BO$2),M$2,N121:BO121))</f>
        <v>0</v>
      </c>
      <c r="N121" s="22">
        <v>6.8</v>
      </c>
      <c r="O121" s="22">
        <v>10.0</v>
      </c>
      <c r="P121" s="22">
        <v>4.6</v>
      </c>
      <c r="Q121" s="22">
        <v>8.1</v>
      </c>
      <c r="R121" s="22">
        <v>12.6</v>
      </c>
      <c r="S121" s="22">
        <v>10.6</v>
      </c>
      <c r="T121" s="22">
        <v>15.2</v>
      </c>
      <c r="U121" s="22">
        <v>13.5</v>
      </c>
      <c r="V121" s="22">
        <v>7.3</v>
      </c>
      <c r="W121" s="22">
        <v>5.75</v>
      </c>
      <c r="X121" s="22">
        <v>4.75</v>
      </c>
      <c r="Y121" s="22">
        <v>5.5</v>
      </c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3"/>
      <c r="AM121" s="23"/>
      <c r="AN121" s="3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</row>
    <row r="122">
      <c r="A122" s="16" t="s">
        <v>27</v>
      </c>
      <c r="B122" s="16" t="s">
        <v>253</v>
      </c>
      <c r="C122" s="17" t="s">
        <v>18</v>
      </c>
      <c r="D122" s="17" t="s">
        <v>19</v>
      </c>
      <c r="E122" s="17" t="s">
        <v>20</v>
      </c>
      <c r="F122" s="17" t="s">
        <v>21</v>
      </c>
      <c r="G122" s="17" t="s">
        <v>22</v>
      </c>
      <c r="H122" s="25" t="s">
        <v>22</v>
      </c>
      <c r="I122" s="19" t="s">
        <v>23</v>
      </c>
      <c r="J122" s="24" t="s">
        <v>254</v>
      </c>
      <c r="K122" s="21" t="b">
        <f t="shared" si="11"/>
        <v>1</v>
      </c>
      <c r="L122" s="21">
        <f t="shared" si="3"/>
        <v>0</v>
      </c>
      <c r="M122" s="21">
        <f t="array" ref="M122">IF(H122="","",SUMif(year(N$2:BO$2),M$2,N122:BO122))</f>
        <v>0</v>
      </c>
      <c r="N122" s="22">
        <v>1.31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</row>
    <row r="123">
      <c r="A123" s="16" t="s">
        <v>16</v>
      </c>
      <c r="B123" s="16" t="s">
        <v>17</v>
      </c>
      <c r="C123" s="17" t="s">
        <v>18</v>
      </c>
      <c r="D123" s="17" t="s">
        <v>19</v>
      </c>
      <c r="E123" s="17" t="s">
        <v>20</v>
      </c>
      <c r="F123" s="17" t="s">
        <v>21</v>
      </c>
      <c r="G123" s="17" t="s">
        <v>22</v>
      </c>
      <c r="H123" s="25" t="s">
        <v>22</v>
      </c>
      <c r="I123" s="19" t="s">
        <v>23</v>
      </c>
      <c r="J123" s="24" t="s">
        <v>255</v>
      </c>
      <c r="K123" s="21" t="b">
        <f t="shared" si="11"/>
        <v>1</v>
      </c>
      <c r="L123" s="21">
        <f t="shared" si="3"/>
        <v>0</v>
      </c>
      <c r="M123" s="21">
        <f t="array" ref="M123">IF(H123="","",SUMif(year(N$2:BO$2),M$2,N123:BO123))</f>
        <v>0</v>
      </c>
      <c r="N123" s="22">
        <v>7.0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</row>
    <row r="124">
      <c r="A124" s="16" t="s">
        <v>27</v>
      </c>
      <c r="B124" s="16" t="s">
        <v>251</v>
      </c>
      <c r="C124" s="17" t="s">
        <v>18</v>
      </c>
      <c r="D124" s="17" t="s">
        <v>19</v>
      </c>
      <c r="E124" s="17" t="s">
        <v>20</v>
      </c>
      <c r="F124" s="17" t="s">
        <v>42</v>
      </c>
      <c r="G124" s="17" t="s">
        <v>43</v>
      </c>
      <c r="H124" s="25" t="s">
        <v>43</v>
      </c>
      <c r="I124" s="19" t="s">
        <v>23</v>
      </c>
      <c r="J124" s="24" t="s">
        <v>256</v>
      </c>
      <c r="K124" s="21" t="b">
        <f t="shared" si="11"/>
        <v>1</v>
      </c>
      <c r="L124" s="21">
        <f t="shared" si="3"/>
        <v>0</v>
      </c>
      <c r="M124" s="21">
        <f t="array" ref="M124">IF(H124="","",SUMif(year(N$2:BO$2),M$2,N124:BO124))</f>
        <v>0</v>
      </c>
      <c r="N124" s="22">
        <v>6.8</v>
      </c>
      <c r="O124" s="22">
        <v>10.8</v>
      </c>
      <c r="P124" s="22">
        <v>7.1</v>
      </c>
      <c r="Q124" s="22">
        <v>9.7</v>
      </c>
      <c r="R124" s="22">
        <v>6.8</v>
      </c>
      <c r="S124" s="22">
        <v>6.5</v>
      </c>
      <c r="T124" s="22">
        <v>6.2</v>
      </c>
      <c r="U124" s="22">
        <v>4.6</v>
      </c>
      <c r="V124" s="22">
        <v>6.4</v>
      </c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</row>
    <row r="125">
      <c r="A125" s="16" t="s">
        <v>27</v>
      </c>
      <c r="B125" s="16" t="s">
        <v>251</v>
      </c>
      <c r="C125" s="17" t="s">
        <v>18</v>
      </c>
      <c r="D125" s="17" t="s">
        <v>19</v>
      </c>
      <c r="E125" s="17" t="s">
        <v>20</v>
      </c>
      <c r="F125" s="17" t="s">
        <v>21</v>
      </c>
      <c r="G125" s="17" t="s">
        <v>22</v>
      </c>
      <c r="H125" s="25" t="s">
        <v>22</v>
      </c>
      <c r="I125" s="19" t="s">
        <v>23</v>
      </c>
      <c r="J125" s="24" t="s">
        <v>256</v>
      </c>
      <c r="K125" s="21" t="b">
        <f t="shared" si="11"/>
        <v>1</v>
      </c>
      <c r="L125" s="21">
        <f t="shared" si="3"/>
        <v>0</v>
      </c>
      <c r="M125" s="21">
        <f t="array" ref="M125">IF(H125="","",SUMif(year(N$2:BO$2),M$2,N125:BO125))</f>
        <v>0</v>
      </c>
      <c r="N125" s="22">
        <v>9.2</v>
      </c>
      <c r="O125" s="22">
        <v>8.0</v>
      </c>
      <c r="P125" s="22">
        <v>10.3</v>
      </c>
      <c r="Q125" s="22">
        <v>9.0</v>
      </c>
      <c r="R125" s="22">
        <v>11.0</v>
      </c>
      <c r="S125" s="22">
        <v>8.7</v>
      </c>
      <c r="T125" s="22">
        <v>16.1</v>
      </c>
      <c r="U125" s="22">
        <v>12.6</v>
      </c>
      <c r="V125" s="22">
        <v>12.5</v>
      </c>
      <c r="W125" s="22">
        <v>15.0</v>
      </c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</row>
    <row r="126">
      <c r="A126" s="16" t="s">
        <v>27</v>
      </c>
      <c r="B126" s="16" t="s">
        <v>251</v>
      </c>
      <c r="C126" s="17" t="s">
        <v>18</v>
      </c>
      <c r="D126" s="17" t="s">
        <v>19</v>
      </c>
      <c r="E126" s="17" t="s">
        <v>20</v>
      </c>
      <c r="F126" s="17" t="s">
        <v>25</v>
      </c>
      <c r="G126" s="17" t="s">
        <v>26</v>
      </c>
      <c r="H126" s="25" t="s">
        <v>26</v>
      </c>
      <c r="I126" s="19" t="s">
        <v>23</v>
      </c>
      <c r="J126" s="24" t="s">
        <v>256</v>
      </c>
      <c r="K126" s="21" t="b">
        <f t="shared" si="11"/>
        <v>1</v>
      </c>
      <c r="L126" s="21">
        <f t="shared" si="3"/>
        <v>0</v>
      </c>
      <c r="M126" s="21">
        <f t="array" ref="M126">IF(H126="","",SUMif(year(N$2:BO$2),M$2,N126:BO126))</f>
        <v>0</v>
      </c>
      <c r="N126" s="22">
        <v>1.0</v>
      </c>
      <c r="O126" s="22">
        <v>1.2</v>
      </c>
      <c r="P126" s="22">
        <v>1.3</v>
      </c>
      <c r="Q126" s="22"/>
      <c r="R126" s="22">
        <v>0.2</v>
      </c>
      <c r="S126" s="22">
        <v>1.9</v>
      </c>
      <c r="T126" s="22">
        <v>0.7</v>
      </c>
      <c r="U126" s="22">
        <v>0.8</v>
      </c>
      <c r="V126" s="22">
        <v>0.9</v>
      </c>
      <c r="W126" s="22">
        <v>1.0</v>
      </c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</row>
    <row r="127">
      <c r="A127" s="16" t="s">
        <v>27</v>
      </c>
      <c r="B127" s="16" t="s">
        <v>117</v>
      </c>
      <c r="C127" s="17" t="s">
        <v>257</v>
      </c>
      <c r="D127" s="17" t="s">
        <v>19</v>
      </c>
      <c r="E127" s="17" t="s">
        <v>20</v>
      </c>
      <c r="F127" s="17" t="s">
        <v>42</v>
      </c>
      <c r="G127" s="17" t="s">
        <v>43</v>
      </c>
      <c r="H127" s="25" t="s">
        <v>43</v>
      </c>
      <c r="I127" s="19" t="s">
        <v>23</v>
      </c>
      <c r="J127" s="24" t="s">
        <v>258</v>
      </c>
      <c r="K127" s="21" t="b">
        <f t="shared" si="11"/>
        <v>1</v>
      </c>
      <c r="L127" s="21">
        <f t="shared" si="3"/>
        <v>0</v>
      </c>
      <c r="M127" s="21">
        <f t="array" ref="M127">IF(H127="","",SUMif(year(N$2:BO$2),M$2,N127:BO127))</f>
        <v>0</v>
      </c>
      <c r="N127" s="22"/>
      <c r="O127" s="22">
        <v>11.19</v>
      </c>
      <c r="P127" s="22">
        <v>20.5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</row>
    <row r="128">
      <c r="A128" s="16" t="s">
        <v>27</v>
      </c>
      <c r="B128" s="16" t="s">
        <v>117</v>
      </c>
      <c r="C128" s="17" t="s">
        <v>18</v>
      </c>
      <c r="D128" s="17" t="s">
        <v>19</v>
      </c>
      <c r="E128" s="17" t="s">
        <v>20</v>
      </c>
      <c r="F128" s="17" t="s">
        <v>42</v>
      </c>
      <c r="G128" s="17" t="s">
        <v>43</v>
      </c>
      <c r="H128" s="25" t="s">
        <v>43</v>
      </c>
      <c r="I128" s="19" t="s">
        <v>23</v>
      </c>
      <c r="J128" s="24" t="s">
        <v>120</v>
      </c>
      <c r="K128" s="21" t="b">
        <f t="shared" si="11"/>
        <v>1</v>
      </c>
      <c r="L128" s="21">
        <f t="shared" si="3"/>
        <v>0</v>
      </c>
      <c r="M128" s="21">
        <f t="array" ref="M128">IF(H128="","",SUMif(year(N$2:BO$2),M$2,N128:BO128))</f>
        <v>0</v>
      </c>
      <c r="N128" s="22"/>
      <c r="O128" s="22">
        <v>3.0</v>
      </c>
      <c r="P128" s="22">
        <v>4.27</v>
      </c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</row>
    <row r="129">
      <c r="A129" s="16" t="s">
        <v>27</v>
      </c>
      <c r="B129" s="16" t="s">
        <v>121</v>
      </c>
      <c r="C129" s="17" t="s">
        <v>18</v>
      </c>
      <c r="D129" s="17" t="s">
        <v>19</v>
      </c>
      <c r="E129" s="17" t="s">
        <v>20</v>
      </c>
      <c r="F129" s="17" t="s">
        <v>25</v>
      </c>
      <c r="G129" s="17" t="s">
        <v>26</v>
      </c>
      <c r="H129" s="25" t="s">
        <v>26</v>
      </c>
      <c r="I129" s="19" t="s">
        <v>23</v>
      </c>
      <c r="J129" s="24" t="s">
        <v>122</v>
      </c>
      <c r="K129" s="21" t="b">
        <f t="shared" si="11"/>
        <v>1</v>
      </c>
      <c r="L129" s="21">
        <f t="shared" si="3"/>
        <v>0</v>
      </c>
      <c r="M129" s="21">
        <f t="array" ref="M129">IF(H129="","",SUMif(year(N$2:BO$2),M$2,N129:BO129))</f>
        <v>0</v>
      </c>
      <c r="N129" s="22">
        <v>0.1</v>
      </c>
      <c r="O129" s="22">
        <v>0.4</v>
      </c>
      <c r="P129" s="22"/>
      <c r="Q129" s="22"/>
      <c r="R129" s="22"/>
      <c r="S129" s="22"/>
      <c r="T129" s="22">
        <v>0.5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</row>
    <row r="130">
      <c r="A130" s="16" t="s">
        <v>27</v>
      </c>
      <c r="B130" s="16" t="s">
        <v>204</v>
      </c>
      <c r="C130" s="17" t="s">
        <v>18</v>
      </c>
      <c r="D130" s="17" t="s">
        <v>19</v>
      </c>
      <c r="E130" s="17" t="s">
        <v>20</v>
      </c>
      <c r="F130" s="17" t="s">
        <v>21</v>
      </c>
      <c r="G130" s="17" t="s">
        <v>22</v>
      </c>
      <c r="H130" s="25" t="s">
        <v>22</v>
      </c>
      <c r="I130" s="19" t="s">
        <v>23</v>
      </c>
      <c r="J130" s="24" t="s">
        <v>205</v>
      </c>
      <c r="K130" s="21" t="b">
        <f t="shared" si="11"/>
        <v>1</v>
      </c>
      <c r="L130" s="21">
        <f t="shared" si="3"/>
        <v>0</v>
      </c>
      <c r="M130" s="21">
        <f t="array" ref="M130">IF(H130="","",SUMif(year(N$2:BO$2),M$2,N130:BO130))</f>
        <v>0</v>
      </c>
      <c r="N130" s="22">
        <v>4.0</v>
      </c>
      <c r="O130" s="22">
        <v>5.2</v>
      </c>
      <c r="P130" s="22">
        <v>10.5</v>
      </c>
      <c r="Q130" s="22">
        <v>6.0</v>
      </c>
      <c r="R130" s="22">
        <v>5.5</v>
      </c>
      <c r="S130" s="22">
        <v>3.8</v>
      </c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</row>
    <row r="131">
      <c r="A131" s="16" t="s">
        <v>27</v>
      </c>
      <c r="B131" s="16" t="s">
        <v>259</v>
      </c>
      <c r="C131" s="17" t="s">
        <v>18</v>
      </c>
      <c r="D131" s="17" t="s">
        <v>19</v>
      </c>
      <c r="E131" s="17" t="s">
        <v>20</v>
      </c>
      <c r="F131" s="17" t="s">
        <v>42</v>
      </c>
      <c r="G131" s="17" t="s">
        <v>43</v>
      </c>
      <c r="H131" s="25" t="s">
        <v>43</v>
      </c>
      <c r="I131" s="19" t="s">
        <v>23</v>
      </c>
      <c r="J131" s="24" t="s">
        <v>23</v>
      </c>
      <c r="K131" s="21" t="b">
        <f t="shared" si="11"/>
        <v>1</v>
      </c>
      <c r="L131" s="21">
        <f t="shared" si="3"/>
        <v>0</v>
      </c>
      <c r="M131" s="21">
        <f t="array" ref="M131">IF(H131="","",SUMif(year(N$2:BO$2),M$2,N131:BO131))</f>
        <v>0</v>
      </c>
      <c r="N131" s="22">
        <v>10.0</v>
      </c>
      <c r="O131" s="22">
        <v>13.2</v>
      </c>
      <c r="P131" s="22">
        <v>19.6</v>
      </c>
      <c r="Q131" s="22">
        <v>14.7</v>
      </c>
      <c r="R131" s="22">
        <v>11.5</v>
      </c>
      <c r="S131" s="22">
        <v>11.0</v>
      </c>
      <c r="T131" s="22">
        <v>12.7</v>
      </c>
      <c r="U131" s="22">
        <v>11.6</v>
      </c>
      <c r="V131" s="22">
        <v>15.4</v>
      </c>
      <c r="W131" s="22">
        <v>16.0</v>
      </c>
      <c r="X131" s="22">
        <v>13.0</v>
      </c>
      <c r="Y131" s="22">
        <v>15.4</v>
      </c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</row>
    <row r="132">
      <c r="A132" s="16" t="s">
        <v>27</v>
      </c>
      <c r="B132" s="16" t="s">
        <v>259</v>
      </c>
      <c r="C132" s="17" t="s">
        <v>18</v>
      </c>
      <c r="D132" s="17" t="s">
        <v>19</v>
      </c>
      <c r="E132" s="17" t="s">
        <v>20</v>
      </c>
      <c r="F132" s="17" t="s">
        <v>21</v>
      </c>
      <c r="G132" s="17" t="s">
        <v>22</v>
      </c>
      <c r="H132" s="25" t="s">
        <v>22</v>
      </c>
      <c r="I132" s="19" t="s">
        <v>23</v>
      </c>
      <c r="J132" s="24" t="s">
        <v>23</v>
      </c>
      <c r="K132" s="21" t="b">
        <f t="shared" si="11"/>
        <v>1</v>
      </c>
      <c r="L132" s="21">
        <f t="shared" si="3"/>
        <v>0</v>
      </c>
      <c r="M132" s="21">
        <f t="array" ref="M132">IF(H132="","",SUMif(year(N$2:BO$2),M$2,N132:BO132))</f>
        <v>0</v>
      </c>
      <c r="N132" s="22">
        <v>2.2</v>
      </c>
      <c r="O132" s="22">
        <v>3.2</v>
      </c>
      <c r="P132" s="22">
        <v>0.8</v>
      </c>
      <c r="Q132" s="22">
        <v>6.0</v>
      </c>
      <c r="R132" s="22">
        <v>6.1</v>
      </c>
      <c r="S132" s="22">
        <v>6.5</v>
      </c>
      <c r="T132" s="22">
        <v>8.7</v>
      </c>
      <c r="U132" s="22">
        <v>8.4</v>
      </c>
      <c r="V132" s="22">
        <v>6.6</v>
      </c>
      <c r="W132" s="22">
        <v>7.0</v>
      </c>
      <c r="X132" s="22">
        <v>6.0</v>
      </c>
      <c r="Y132" s="22">
        <v>6.6</v>
      </c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</row>
    <row r="133">
      <c r="A133" s="16" t="s">
        <v>27</v>
      </c>
      <c r="B133" s="16" t="s">
        <v>259</v>
      </c>
      <c r="C133" s="17" t="s">
        <v>18</v>
      </c>
      <c r="D133" s="17" t="s">
        <v>19</v>
      </c>
      <c r="E133" s="17" t="s">
        <v>20</v>
      </c>
      <c r="F133" s="17" t="s">
        <v>25</v>
      </c>
      <c r="G133" s="17" t="s">
        <v>26</v>
      </c>
      <c r="H133" s="25" t="s">
        <v>26</v>
      </c>
      <c r="I133" s="19" t="s">
        <v>23</v>
      </c>
      <c r="J133" s="24" t="s">
        <v>23</v>
      </c>
      <c r="K133" s="21" t="b">
        <f t="shared" si="11"/>
        <v>1</v>
      </c>
      <c r="L133" s="21">
        <f t="shared" si="3"/>
        <v>0</v>
      </c>
      <c r="M133" s="21">
        <f t="array" ref="M133">IF(H133="","",SUMif(year(N$2:BO$2),M$2,N133:BO133))</f>
        <v>0</v>
      </c>
      <c r="N133" s="22">
        <v>2.4</v>
      </c>
      <c r="O133" s="22">
        <v>1.6</v>
      </c>
      <c r="P133" s="22"/>
      <c r="Q133" s="22">
        <v>0.4</v>
      </c>
      <c r="R133" s="22"/>
      <c r="S133" s="22">
        <v>0.4</v>
      </c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</row>
    <row r="134">
      <c r="A134" s="16" t="s">
        <v>27</v>
      </c>
      <c r="B134" s="16" t="s">
        <v>216</v>
      </c>
      <c r="C134" s="17" t="s">
        <v>18</v>
      </c>
      <c r="D134" s="17" t="s">
        <v>19</v>
      </c>
      <c r="E134" s="17" t="s">
        <v>248</v>
      </c>
      <c r="F134" s="17" t="s">
        <v>248</v>
      </c>
      <c r="G134" s="17" t="s">
        <v>249</v>
      </c>
      <c r="H134" s="25" t="s">
        <v>250</v>
      </c>
      <c r="I134" s="19" t="s">
        <v>23</v>
      </c>
      <c r="J134" s="24" t="s">
        <v>23</v>
      </c>
      <c r="K134" s="21" t="b">
        <f t="shared" si="11"/>
        <v>1</v>
      </c>
      <c r="L134" s="21">
        <f t="shared" si="3"/>
        <v>0</v>
      </c>
      <c r="M134" s="21">
        <f t="array" ref="M134">IF(H134="","",SUMif(year(N$2:BO$2),M$2,N134:BO134))</f>
        <v>0</v>
      </c>
      <c r="N134" s="22">
        <v>2.4</v>
      </c>
      <c r="O134" s="22">
        <v>2.0</v>
      </c>
      <c r="P134" s="22">
        <v>0.6</v>
      </c>
      <c r="Q134" s="22">
        <v>0.9</v>
      </c>
      <c r="R134" s="22">
        <v>0.4</v>
      </c>
      <c r="S134" s="22">
        <v>1.1</v>
      </c>
      <c r="T134" s="22">
        <v>1.6</v>
      </c>
      <c r="U134" s="22">
        <v>1.0</v>
      </c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</row>
    <row r="135">
      <c r="A135" s="16" t="s">
        <v>27</v>
      </c>
      <c r="B135" s="16" t="s">
        <v>210</v>
      </c>
      <c r="C135" s="17" t="s">
        <v>18</v>
      </c>
      <c r="D135" s="17" t="s">
        <v>19</v>
      </c>
      <c r="E135" s="17" t="s">
        <v>20</v>
      </c>
      <c r="F135" s="17" t="s">
        <v>21</v>
      </c>
      <c r="G135" s="17" t="s">
        <v>22</v>
      </c>
      <c r="H135" s="25" t="s">
        <v>22</v>
      </c>
      <c r="I135" s="19" t="s">
        <v>23</v>
      </c>
      <c r="J135" s="24" t="s">
        <v>207</v>
      </c>
      <c r="K135" s="21" t="b">
        <f t="shared" si="11"/>
        <v>1</v>
      </c>
      <c r="L135" s="21">
        <f t="shared" si="3"/>
        <v>0</v>
      </c>
      <c r="M135" s="21">
        <f t="array" ref="M135">IF(H135="","",SUMif(year(N$2:BO$2),M$2,N135:BO135))</f>
        <v>0</v>
      </c>
      <c r="N135" s="22"/>
      <c r="O135" s="22"/>
      <c r="P135" s="22"/>
      <c r="Q135" s="22"/>
      <c r="R135" s="22">
        <v>10.5</v>
      </c>
      <c r="S135" s="22">
        <v>19.0</v>
      </c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</row>
    <row r="136">
      <c r="A136" s="16" t="s">
        <v>16</v>
      </c>
      <c r="B136" s="16" t="s">
        <v>17</v>
      </c>
      <c r="C136" s="17" t="s">
        <v>18</v>
      </c>
      <c r="D136" s="17" t="s">
        <v>19</v>
      </c>
      <c r="E136" s="17" t="s">
        <v>20</v>
      </c>
      <c r="F136" s="17" t="s">
        <v>260</v>
      </c>
      <c r="G136" s="17" t="s">
        <v>260</v>
      </c>
      <c r="H136" s="25" t="s">
        <v>261</v>
      </c>
      <c r="I136" s="19" t="s">
        <v>23</v>
      </c>
      <c r="J136" s="24" t="s">
        <v>24</v>
      </c>
      <c r="K136" s="21" t="b">
        <f t="shared" si="11"/>
        <v>1</v>
      </c>
      <c r="L136" s="21">
        <f t="shared" si="3"/>
        <v>0</v>
      </c>
      <c r="M136" s="21">
        <f t="array" ref="M136">IF(H136="","",SUMif(year(N$2:BO$2),M$2,N136:BO136))</f>
        <v>0</v>
      </c>
      <c r="N136" s="22"/>
      <c r="O136" s="22"/>
      <c r="P136" s="22">
        <v>3.0</v>
      </c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</row>
    <row r="137">
      <c r="A137" s="16" t="s">
        <v>27</v>
      </c>
      <c r="B137" s="16" t="s">
        <v>251</v>
      </c>
      <c r="C137" s="17" t="s">
        <v>18</v>
      </c>
      <c r="D137" s="17" t="s">
        <v>19</v>
      </c>
      <c r="E137" s="17" t="s">
        <v>20</v>
      </c>
      <c r="F137" s="17" t="s">
        <v>260</v>
      </c>
      <c r="G137" s="17" t="s">
        <v>260</v>
      </c>
      <c r="H137" s="25" t="s">
        <v>261</v>
      </c>
      <c r="I137" s="19" t="s">
        <v>23</v>
      </c>
      <c r="J137" s="24" t="s">
        <v>256</v>
      </c>
      <c r="K137" s="21" t="b">
        <f t="shared" si="11"/>
        <v>1</v>
      </c>
      <c r="L137" s="21">
        <f t="shared" si="3"/>
        <v>0</v>
      </c>
      <c r="M137" s="21">
        <f t="array" ref="M137">IF(H137="","",SUMif(year(N$2:BO$2),M$2,N137:BO137))</f>
        <v>0</v>
      </c>
      <c r="N137" s="22"/>
      <c r="O137" s="22"/>
      <c r="P137" s="22">
        <v>2.3</v>
      </c>
      <c r="Q137" s="22">
        <v>3.3</v>
      </c>
      <c r="R137" s="22"/>
      <c r="S137" s="22">
        <v>1.9</v>
      </c>
      <c r="T137" s="22"/>
      <c r="U137" s="22">
        <v>3.0</v>
      </c>
      <c r="V137" s="22">
        <v>2.2</v>
      </c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</row>
    <row r="138">
      <c r="A138" s="16" t="s">
        <v>27</v>
      </c>
      <c r="B138" s="16" t="s">
        <v>121</v>
      </c>
      <c r="C138" s="17" t="s">
        <v>18</v>
      </c>
      <c r="D138" s="17" t="s">
        <v>19</v>
      </c>
      <c r="E138" s="17" t="s">
        <v>20</v>
      </c>
      <c r="F138" s="17" t="s">
        <v>260</v>
      </c>
      <c r="G138" s="17" t="s">
        <v>260</v>
      </c>
      <c r="H138" s="25" t="s">
        <v>261</v>
      </c>
      <c r="I138" s="19" t="s">
        <v>23</v>
      </c>
      <c r="J138" s="24" t="s">
        <v>122</v>
      </c>
      <c r="K138" s="21" t="b">
        <f t="shared" si="11"/>
        <v>1</v>
      </c>
      <c r="L138" s="21">
        <f t="shared" si="3"/>
        <v>0</v>
      </c>
      <c r="M138" s="21">
        <f t="array" ref="M138">IF(H138="","",SUMif(year(N$2:BO$2),M$2,N138:BO138))</f>
        <v>0</v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</row>
    <row r="139">
      <c r="A139" s="16" t="s">
        <v>27</v>
      </c>
      <c r="B139" s="16" t="s">
        <v>180</v>
      </c>
      <c r="C139" s="17" t="s">
        <v>18</v>
      </c>
      <c r="D139" s="17" t="s">
        <v>29</v>
      </c>
      <c r="E139" s="17" t="s">
        <v>96</v>
      </c>
      <c r="F139" s="17" t="s">
        <v>97</v>
      </c>
      <c r="G139" s="17" t="s">
        <v>98</v>
      </c>
      <c r="H139" s="25" t="s">
        <v>98</v>
      </c>
      <c r="I139" s="19" t="s">
        <v>71</v>
      </c>
      <c r="J139" s="24" t="s">
        <v>182</v>
      </c>
      <c r="K139" s="21" t="b">
        <f t="shared" si="11"/>
        <v>1</v>
      </c>
      <c r="L139" s="21">
        <f t="shared" si="3"/>
        <v>0</v>
      </c>
      <c r="M139" s="21">
        <f t="array" ref="M139">IF(H139="","",SUMif(year(N$2:BO$2),M$2,N139:BO139))</f>
        <v>5</v>
      </c>
      <c r="N139" s="22"/>
      <c r="O139" s="22"/>
      <c r="P139" s="22"/>
      <c r="Q139" s="22"/>
      <c r="R139" s="22"/>
      <c r="S139" s="22">
        <v>14.0</v>
      </c>
      <c r="T139" s="22">
        <v>23.0</v>
      </c>
      <c r="U139" s="22">
        <v>21.0</v>
      </c>
      <c r="V139" s="22">
        <v>22.0</v>
      </c>
      <c r="W139" s="22">
        <v>23.0</v>
      </c>
      <c r="X139" s="22">
        <v>19.0</v>
      </c>
      <c r="Y139" s="22">
        <v>21.0</v>
      </c>
      <c r="Z139" s="22">
        <v>5.0</v>
      </c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</row>
    <row r="140">
      <c r="A140" s="16" t="s">
        <v>16</v>
      </c>
      <c r="B140" s="16" t="s">
        <v>103</v>
      </c>
      <c r="C140" s="17" t="s">
        <v>18</v>
      </c>
      <c r="D140" s="17" t="s">
        <v>19</v>
      </c>
      <c r="E140" s="17" t="s">
        <v>36</v>
      </c>
      <c r="F140" s="17" t="s">
        <v>37</v>
      </c>
      <c r="G140" s="17" t="s">
        <v>38</v>
      </c>
      <c r="H140" s="25" t="s">
        <v>38</v>
      </c>
      <c r="I140" s="19" t="s">
        <v>39</v>
      </c>
      <c r="J140" s="24" t="s">
        <v>262</v>
      </c>
      <c r="K140" s="21" t="b">
        <f t="shared" si="11"/>
        <v>1</v>
      </c>
      <c r="L140" s="21">
        <f t="shared" si="3"/>
        <v>0</v>
      </c>
      <c r="M140" s="21">
        <f t="array" ref="M140">IF(H140="","",SUMif(year(N$2:BO$2),M$2,N140:BO140))</f>
        <v>117</v>
      </c>
      <c r="N140" s="22">
        <v>17.0</v>
      </c>
      <c r="O140" s="22">
        <v>20.0</v>
      </c>
      <c r="P140" s="22">
        <v>21.0</v>
      </c>
      <c r="Q140" s="22">
        <v>22.0</v>
      </c>
      <c r="R140" s="22">
        <v>18.0</v>
      </c>
      <c r="S140" s="22">
        <v>19.0</v>
      </c>
      <c r="T140" s="22">
        <v>23.0</v>
      </c>
      <c r="U140" s="22">
        <v>21.0</v>
      </c>
      <c r="V140" s="22">
        <v>22.0</v>
      </c>
      <c r="W140" s="22">
        <v>23.0</v>
      </c>
      <c r="X140" s="22">
        <v>19.0</v>
      </c>
      <c r="Y140" s="22">
        <v>22.0</v>
      </c>
      <c r="Z140" s="22">
        <v>15.0</v>
      </c>
      <c r="AA140" s="22">
        <v>19.0</v>
      </c>
      <c r="AB140" s="22">
        <v>21.0</v>
      </c>
      <c r="AC140" s="22">
        <v>22.0</v>
      </c>
      <c r="AD140" s="22">
        <v>19.0</v>
      </c>
      <c r="AE140" s="22">
        <v>21.0</v>
      </c>
      <c r="AF140" s="22"/>
      <c r="AG140" s="22"/>
      <c r="AH140" s="22"/>
      <c r="AI140" s="22"/>
      <c r="AJ140" s="22"/>
      <c r="AK140" s="22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</row>
    <row r="141">
      <c r="A141" s="16" t="s">
        <v>27</v>
      </c>
      <c r="B141" s="16" t="s">
        <v>67</v>
      </c>
      <c r="C141" s="17" t="s">
        <v>18</v>
      </c>
      <c r="D141" s="17" t="s">
        <v>29</v>
      </c>
      <c r="E141" s="17" t="s">
        <v>113</v>
      </c>
      <c r="F141" s="17" t="s">
        <v>114</v>
      </c>
      <c r="G141" s="17" t="s">
        <v>115</v>
      </c>
      <c r="H141" s="27" t="s">
        <v>115</v>
      </c>
      <c r="I141" s="19" t="s">
        <v>65</v>
      </c>
      <c r="J141" s="24" t="s">
        <v>263</v>
      </c>
      <c r="K141" s="21" t="b">
        <f t="shared" si="11"/>
        <v>1</v>
      </c>
      <c r="L141" s="21">
        <f t="shared" si="3"/>
        <v>0</v>
      </c>
      <c r="M141" s="21">
        <f t="array" ref="M141">IF(H141="","",SUMif(year(N$2:BO$2),M$2,N141:BO141))</f>
        <v>34</v>
      </c>
      <c r="N141" s="22">
        <v>14.5</v>
      </c>
      <c r="O141" s="22">
        <v>14.5</v>
      </c>
      <c r="P141" s="22">
        <v>8.51</v>
      </c>
      <c r="Q141" s="22">
        <v>18.5</v>
      </c>
      <c r="R141" s="22">
        <v>18.0</v>
      </c>
      <c r="S141" s="22">
        <v>17.88</v>
      </c>
      <c r="T141" s="22">
        <v>22.0</v>
      </c>
      <c r="U141" s="22">
        <v>17.5</v>
      </c>
      <c r="V141" s="22">
        <v>18.0</v>
      </c>
      <c r="W141" s="22">
        <v>17.0</v>
      </c>
      <c r="X141" s="22">
        <v>17.0</v>
      </c>
      <c r="Y141" s="22">
        <v>22.0</v>
      </c>
      <c r="Z141" s="22">
        <v>15.0</v>
      </c>
      <c r="AA141" s="22">
        <v>19.0</v>
      </c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</row>
    <row r="142">
      <c r="A142" s="16" t="s">
        <v>133</v>
      </c>
      <c r="B142" s="16" t="s">
        <v>134</v>
      </c>
      <c r="C142" s="17" t="s">
        <v>133</v>
      </c>
      <c r="D142" s="17" t="s">
        <v>29</v>
      </c>
      <c r="E142" s="17" t="s">
        <v>68</v>
      </c>
      <c r="F142" s="17" t="s">
        <v>69</v>
      </c>
      <c r="G142" s="17" t="s">
        <v>70</v>
      </c>
      <c r="H142" s="25" t="s">
        <v>70</v>
      </c>
      <c r="I142" s="19" t="s">
        <v>33</v>
      </c>
      <c r="J142" s="24" t="s">
        <v>190</v>
      </c>
      <c r="K142" s="21" t="b">
        <f t="shared" si="11"/>
        <v>1</v>
      </c>
      <c r="L142" s="21">
        <f t="shared" si="3"/>
        <v>0</v>
      </c>
      <c r="M142" s="21">
        <f t="array" ref="M142">IF(H142="","",SUMif(year(N$2:BO$2),M$2,N142:BO142))</f>
        <v>0</v>
      </c>
      <c r="N142" s="22">
        <v>1.66</v>
      </c>
      <c r="O142" s="22">
        <v>1.66</v>
      </c>
      <c r="P142" s="22">
        <v>1.66</v>
      </c>
      <c r="Q142" s="22">
        <v>1.66</v>
      </c>
      <c r="R142" s="22">
        <v>1.66</v>
      </c>
      <c r="S142" s="22">
        <v>1.66</v>
      </c>
      <c r="T142" s="22">
        <v>1.66</v>
      </c>
      <c r="U142" s="22">
        <v>1.66</v>
      </c>
      <c r="V142" s="22">
        <v>1.66</v>
      </c>
      <c r="W142" s="22">
        <v>1.66</v>
      </c>
      <c r="X142" s="22">
        <v>1.66</v>
      </c>
      <c r="Y142" s="22">
        <v>1.66</v>
      </c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</row>
    <row r="143">
      <c r="A143" s="16" t="s">
        <v>133</v>
      </c>
      <c r="B143" s="16" t="s">
        <v>134</v>
      </c>
      <c r="C143" s="17" t="s">
        <v>133</v>
      </c>
      <c r="D143" s="17" t="s">
        <v>29</v>
      </c>
      <c r="E143" s="17" t="s">
        <v>90</v>
      </c>
      <c r="F143" s="17" t="s">
        <v>91</v>
      </c>
      <c r="G143" s="17" t="s">
        <v>264</v>
      </c>
      <c r="H143" s="25" t="s">
        <v>264</v>
      </c>
      <c r="I143" s="19" t="s">
        <v>33</v>
      </c>
      <c r="J143" s="24" t="s">
        <v>190</v>
      </c>
      <c r="K143" s="21" t="b">
        <f t="shared" si="11"/>
        <v>1</v>
      </c>
      <c r="L143" s="21">
        <f t="shared" si="3"/>
        <v>0</v>
      </c>
      <c r="M143" s="21">
        <f t="array" ref="M143">IF(H143="","",SUMif(year(N$2:BO$2),M$2,N143:BO143))</f>
        <v>0</v>
      </c>
      <c r="N143" s="22">
        <v>1.66</v>
      </c>
      <c r="O143" s="22">
        <v>1.66</v>
      </c>
      <c r="P143" s="22">
        <v>1.66</v>
      </c>
      <c r="Q143" s="22">
        <v>1.66</v>
      </c>
      <c r="R143" s="22">
        <v>1.66</v>
      </c>
      <c r="S143" s="22">
        <v>1.66</v>
      </c>
      <c r="T143" s="22">
        <v>1.66</v>
      </c>
      <c r="U143" s="22">
        <v>1.66</v>
      </c>
      <c r="V143" s="22">
        <v>1.66</v>
      </c>
      <c r="W143" s="22">
        <v>1.66</v>
      </c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</row>
    <row r="144">
      <c r="A144" s="16" t="s">
        <v>16</v>
      </c>
      <c r="B144" s="16" t="s">
        <v>17</v>
      </c>
      <c r="C144" s="17" t="s">
        <v>18</v>
      </c>
      <c r="D144" s="17" t="s">
        <v>19</v>
      </c>
      <c r="E144" s="17" t="s">
        <v>20</v>
      </c>
      <c r="F144" s="17" t="s">
        <v>42</v>
      </c>
      <c r="G144" s="17" t="s">
        <v>43</v>
      </c>
      <c r="H144" s="25" t="s">
        <v>43</v>
      </c>
      <c r="I144" s="19" t="s">
        <v>23</v>
      </c>
      <c r="J144" s="24" t="s">
        <v>131</v>
      </c>
      <c r="K144" s="21" t="b">
        <f t="shared" si="11"/>
        <v>1</v>
      </c>
      <c r="L144" s="21">
        <f t="shared" si="3"/>
        <v>0</v>
      </c>
      <c r="M144" s="21">
        <f t="array" ref="M144">IF(H144="","",SUMif(year(N$2:BO$2),M$2,N144:BO144))</f>
        <v>247</v>
      </c>
      <c r="N144" s="22">
        <v>2.0</v>
      </c>
      <c r="O144" s="22">
        <v>3.4</v>
      </c>
      <c r="P144" s="22">
        <v>2.0</v>
      </c>
      <c r="Q144" s="22"/>
      <c r="R144" s="22"/>
      <c r="S144" s="22"/>
      <c r="T144" s="22">
        <v>1.4</v>
      </c>
      <c r="U144" s="22"/>
      <c r="V144" s="22">
        <v>2.4</v>
      </c>
      <c r="W144" s="22">
        <v>23.0</v>
      </c>
      <c r="X144" s="22">
        <v>19.0</v>
      </c>
      <c r="Y144" s="22">
        <v>22.0</v>
      </c>
      <c r="Z144" s="22">
        <v>15.0</v>
      </c>
      <c r="AA144" s="22">
        <v>19.0</v>
      </c>
      <c r="AB144" s="22">
        <v>21.0</v>
      </c>
      <c r="AC144" s="22">
        <v>22.0</v>
      </c>
      <c r="AD144" s="22">
        <v>19.0</v>
      </c>
      <c r="AE144" s="22">
        <v>21.0</v>
      </c>
      <c r="AF144" s="22">
        <v>23.0</v>
      </c>
      <c r="AG144" s="22">
        <v>21.0</v>
      </c>
      <c r="AH144" s="22">
        <v>22.0</v>
      </c>
      <c r="AI144" s="22">
        <v>22.0</v>
      </c>
      <c r="AJ144" s="22">
        <v>20.0</v>
      </c>
      <c r="AK144" s="22">
        <v>22.0</v>
      </c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</row>
    <row r="145">
      <c r="A145" s="16" t="s">
        <v>27</v>
      </c>
      <c r="B145" s="16" t="s">
        <v>159</v>
      </c>
      <c r="C145" s="17" t="s">
        <v>18</v>
      </c>
      <c r="D145" s="17" t="s">
        <v>19</v>
      </c>
      <c r="E145" s="17" t="s">
        <v>36</v>
      </c>
      <c r="F145" s="17" t="s">
        <v>37</v>
      </c>
      <c r="G145" s="17" t="s">
        <v>38</v>
      </c>
      <c r="H145" s="25" t="s">
        <v>38</v>
      </c>
      <c r="I145" s="19" t="s">
        <v>39</v>
      </c>
      <c r="J145" s="24" t="s">
        <v>265</v>
      </c>
      <c r="K145" s="21" t="b">
        <f t="shared" si="11"/>
        <v>1</v>
      </c>
      <c r="L145" s="21">
        <f t="shared" si="3"/>
        <v>0</v>
      </c>
      <c r="M145" s="21">
        <f t="array" ref="M145">IF(H145="","",SUMif(year(N$2:BO$2),M$2,N145:BO145))</f>
        <v>140</v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>
        <v>15.0</v>
      </c>
      <c r="AA145" s="22">
        <v>19.0</v>
      </c>
      <c r="AB145" s="22">
        <v>21.0</v>
      </c>
      <c r="AC145" s="22">
        <v>22.0</v>
      </c>
      <c r="AD145" s="22">
        <v>19.0</v>
      </c>
      <c r="AE145" s="22">
        <v>21.0</v>
      </c>
      <c r="AF145" s="22">
        <v>23.0</v>
      </c>
      <c r="AG145" s="22"/>
      <c r="AH145" s="22"/>
      <c r="AI145" s="22"/>
      <c r="AJ145" s="22"/>
      <c r="AK145" s="22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</row>
    <row r="146">
      <c r="A146" s="16" t="s">
        <v>27</v>
      </c>
      <c r="B146" s="16" t="s">
        <v>159</v>
      </c>
      <c r="C146" s="17" t="s">
        <v>18</v>
      </c>
      <c r="D146" s="17" t="s">
        <v>19</v>
      </c>
      <c r="E146" s="17" t="s">
        <v>36</v>
      </c>
      <c r="F146" s="17" t="s">
        <v>37</v>
      </c>
      <c r="G146" s="17" t="s">
        <v>94</v>
      </c>
      <c r="H146" s="25" t="s">
        <v>94</v>
      </c>
      <c r="I146" s="19" t="s">
        <v>71</v>
      </c>
      <c r="J146" s="24" t="s">
        <v>265</v>
      </c>
      <c r="K146" s="21" t="b">
        <f t="shared" si="11"/>
        <v>1</v>
      </c>
      <c r="L146" s="21">
        <f t="shared" si="3"/>
        <v>0</v>
      </c>
      <c r="M146" s="21">
        <f t="array" ref="M146">IF(H146="","",SUMif(year(N$2:BO$2),M$2,N146:BO146))</f>
        <v>77</v>
      </c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>
        <v>22.0</v>
      </c>
      <c r="Z146" s="22">
        <v>15.0</v>
      </c>
      <c r="AA146" s="22">
        <v>19.0</v>
      </c>
      <c r="AB146" s="22">
        <v>21.0</v>
      </c>
      <c r="AC146" s="22">
        <v>22.0</v>
      </c>
      <c r="AD146" s="22"/>
      <c r="AE146" s="22"/>
      <c r="AF146" s="22"/>
      <c r="AG146" s="22"/>
      <c r="AH146" s="22"/>
      <c r="AI146" s="22"/>
      <c r="AJ146" s="22"/>
      <c r="AK146" s="22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</row>
    <row r="147">
      <c r="A147" s="16" t="s">
        <v>27</v>
      </c>
      <c r="B147" s="16" t="s">
        <v>159</v>
      </c>
      <c r="C147" s="17" t="s">
        <v>18</v>
      </c>
      <c r="D147" s="17" t="s">
        <v>19</v>
      </c>
      <c r="E147" s="17" t="s">
        <v>109</v>
      </c>
      <c r="F147" s="17" t="s">
        <v>110</v>
      </c>
      <c r="G147" s="17" t="s">
        <v>111</v>
      </c>
      <c r="H147" s="25" t="s">
        <v>111</v>
      </c>
      <c r="I147" s="19" t="s">
        <v>57</v>
      </c>
      <c r="J147" s="24" t="s">
        <v>265</v>
      </c>
      <c r="K147" s="21" t="b">
        <f t="shared" si="11"/>
        <v>1</v>
      </c>
      <c r="L147" s="21">
        <f t="shared" si="3"/>
        <v>0</v>
      </c>
      <c r="M147" s="21">
        <f t="array" ref="M147">IF(H147="","",SUMif(year(N$2:BO$2),M$2,N147:BO147))</f>
        <v>15</v>
      </c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>
        <v>22.0</v>
      </c>
      <c r="Z147" s="22">
        <v>15.0</v>
      </c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</row>
    <row r="148">
      <c r="A148" s="16" t="s">
        <v>27</v>
      </c>
      <c r="B148" s="16" t="s">
        <v>159</v>
      </c>
      <c r="C148" s="17" t="s">
        <v>18</v>
      </c>
      <c r="D148" s="17" t="s">
        <v>19</v>
      </c>
      <c r="E148" s="17" t="s">
        <v>109</v>
      </c>
      <c r="F148" s="17" t="s">
        <v>110</v>
      </c>
      <c r="G148" s="17" t="s">
        <v>111</v>
      </c>
      <c r="H148" s="25" t="s">
        <v>111</v>
      </c>
      <c r="I148" s="19" t="s">
        <v>57</v>
      </c>
      <c r="J148" s="24" t="s">
        <v>265</v>
      </c>
      <c r="K148" s="21" t="b">
        <f t="shared" si="11"/>
        <v>1</v>
      </c>
      <c r="L148" s="21">
        <f t="shared" si="3"/>
        <v>0</v>
      </c>
      <c r="M148" s="21">
        <f t="array" ref="M148">IF(H148="","",SUMif(year(N$2:BO$2),M$2,N148:BO148))</f>
        <v>34</v>
      </c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>
        <v>22.0</v>
      </c>
      <c r="Z148" s="22">
        <v>15.0</v>
      </c>
      <c r="AA148" s="22">
        <v>19.0</v>
      </c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</row>
    <row r="149">
      <c r="A149" s="16" t="s">
        <v>27</v>
      </c>
      <c r="B149" s="16"/>
      <c r="C149" s="35"/>
      <c r="D149" s="35"/>
      <c r="E149" s="35"/>
      <c r="F149" s="35"/>
      <c r="G149" s="17" t="s">
        <v>94</v>
      </c>
      <c r="H149" s="25" t="s">
        <v>94</v>
      </c>
      <c r="I149" s="19" t="s">
        <v>71</v>
      </c>
      <c r="J149" s="24" t="s">
        <v>265</v>
      </c>
      <c r="K149" s="21" t="b">
        <v>0</v>
      </c>
      <c r="L149" s="21">
        <f t="shared" si="3"/>
        <v>0</v>
      </c>
      <c r="M149" s="21">
        <f t="array" ref="M149">IF(H149="","",SUMif(year(N$2:BO$2),M$2,N149:BO149))</f>
        <v>117</v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>
        <v>15.0</v>
      </c>
      <c r="AA149" s="22">
        <v>19.0</v>
      </c>
      <c r="AB149" s="22">
        <v>21.0</v>
      </c>
      <c r="AC149" s="22">
        <v>22.0</v>
      </c>
      <c r="AD149" s="22">
        <v>19.0</v>
      </c>
      <c r="AE149" s="22">
        <v>21.0</v>
      </c>
      <c r="AF149" s="22"/>
      <c r="AG149" s="22"/>
      <c r="AH149" s="22"/>
      <c r="AI149" s="22"/>
      <c r="AJ149" s="22"/>
      <c r="AK149" s="22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</row>
    <row r="150">
      <c r="A150" s="16" t="s">
        <v>16</v>
      </c>
      <c r="B150" s="16" t="s">
        <v>16</v>
      </c>
      <c r="C150" s="17" t="s">
        <v>18</v>
      </c>
      <c r="D150" s="17" t="s">
        <v>19</v>
      </c>
      <c r="E150" s="17" t="s">
        <v>36</v>
      </c>
      <c r="F150" s="17" t="s">
        <v>37</v>
      </c>
      <c r="G150" s="17" t="s">
        <v>94</v>
      </c>
      <c r="H150" s="25" t="s">
        <v>94</v>
      </c>
      <c r="I150" s="19" t="s">
        <v>71</v>
      </c>
      <c r="J150" s="24" t="s">
        <v>266</v>
      </c>
      <c r="K150" s="21" t="b">
        <f t="shared" ref="K150:K172" si="12">if(H150="","",NOT(ISNA(VLOOKUP(J150,'Команда'!G:G,1,false))))</f>
        <v>1</v>
      </c>
      <c r="L150" s="21">
        <f t="shared" si="3"/>
        <v>0</v>
      </c>
      <c r="M150" s="21">
        <f t="array" ref="M150">IF(H150="","",SUMif(year(N$2:BO$2),M$2,N150:BO150))</f>
        <v>76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>
        <v>15.0</v>
      </c>
      <c r="AA150" s="22">
        <v>19.0</v>
      </c>
      <c r="AB150" s="22">
        <v>21.0</v>
      </c>
      <c r="AC150" s="22">
        <v>21.0</v>
      </c>
      <c r="AD150" s="22"/>
      <c r="AE150" s="22"/>
      <c r="AF150" s="22"/>
      <c r="AG150" s="22"/>
      <c r="AH150" s="22"/>
      <c r="AI150" s="22"/>
      <c r="AJ150" s="22"/>
      <c r="AK150" s="22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</row>
    <row r="151">
      <c r="A151" s="16" t="s">
        <v>16</v>
      </c>
      <c r="B151" s="16" t="s">
        <v>16</v>
      </c>
      <c r="C151" s="17" t="s">
        <v>18</v>
      </c>
      <c r="D151" s="17" t="s">
        <v>19</v>
      </c>
      <c r="E151" s="17" t="s">
        <v>109</v>
      </c>
      <c r="F151" s="17" t="s">
        <v>110</v>
      </c>
      <c r="G151" s="17" t="s">
        <v>111</v>
      </c>
      <c r="H151" s="25" t="s">
        <v>111</v>
      </c>
      <c r="I151" s="19" t="s">
        <v>57</v>
      </c>
      <c r="J151" s="24" t="s">
        <v>266</v>
      </c>
      <c r="K151" s="21" t="b">
        <f t="shared" si="12"/>
        <v>1</v>
      </c>
      <c r="L151" s="21">
        <f t="shared" si="3"/>
        <v>0</v>
      </c>
      <c r="M151" s="21">
        <f t="array" ref="M151">IF(H151="","",SUMif(year(N$2:BO$2),M$2,N151:BO151))</f>
        <v>34</v>
      </c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>
        <v>22.0</v>
      </c>
      <c r="Z151" s="22">
        <v>15.0</v>
      </c>
      <c r="AA151" s="22">
        <v>19.0</v>
      </c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</row>
    <row r="152">
      <c r="A152" s="16" t="s">
        <v>16</v>
      </c>
      <c r="B152" s="16" t="s">
        <v>211</v>
      </c>
      <c r="C152" s="17" t="s">
        <v>18</v>
      </c>
      <c r="D152" s="17" t="s">
        <v>29</v>
      </c>
      <c r="E152" s="17" t="s">
        <v>79</v>
      </c>
      <c r="F152" s="17" t="s">
        <v>80</v>
      </c>
      <c r="G152" s="17" t="s">
        <v>81</v>
      </c>
      <c r="H152" s="25" t="s">
        <v>81</v>
      </c>
      <c r="I152" s="19" t="s">
        <v>65</v>
      </c>
      <c r="J152" s="24" t="s">
        <v>267</v>
      </c>
      <c r="K152" s="21" t="b">
        <f t="shared" si="12"/>
        <v>1</v>
      </c>
      <c r="L152" s="21">
        <f t="shared" si="3"/>
        <v>0</v>
      </c>
      <c r="M152" s="21">
        <f t="array" ref="M152">IF(H152="","",SUMif(year(N$2:BO$2),M$2,N152:BO152))</f>
        <v>34</v>
      </c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>
        <v>16.0</v>
      </c>
      <c r="Y152" s="22">
        <v>22.0</v>
      </c>
      <c r="Z152" s="22">
        <v>15.0</v>
      </c>
      <c r="AA152" s="22">
        <v>19.0</v>
      </c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</row>
    <row r="153">
      <c r="A153" s="16" t="s">
        <v>16</v>
      </c>
      <c r="B153" s="16" t="s">
        <v>35</v>
      </c>
      <c r="C153" s="17" t="s">
        <v>18</v>
      </c>
      <c r="D153" s="17" t="s">
        <v>19</v>
      </c>
      <c r="E153" s="17" t="s">
        <v>268</v>
      </c>
      <c r="F153" s="17" t="s">
        <v>269</v>
      </c>
      <c r="G153" s="17" t="s">
        <v>270</v>
      </c>
      <c r="H153" s="25" t="s">
        <v>270</v>
      </c>
      <c r="I153" s="19" t="s">
        <v>57</v>
      </c>
      <c r="J153" s="24" t="s">
        <v>271</v>
      </c>
      <c r="K153" s="21" t="b">
        <f t="shared" si="12"/>
        <v>1</v>
      </c>
      <c r="L153" s="21">
        <f t="shared" si="3"/>
        <v>0</v>
      </c>
      <c r="M153" s="21">
        <f t="array" ref="M153">IF(H153="","",SUMif(year(N$2:BO$2),M$2,N153:BO153))</f>
        <v>15</v>
      </c>
      <c r="N153" s="22"/>
      <c r="O153" s="22"/>
      <c r="P153" s="22"/>
      <c r="Q153" s="22"/>
      <c r="R153" s="22"/>
      <c r="S153" s="22"/>
      <c r="T153" s="22"/>
      <c r="U153" s="22"/>
      <c r="V153" s="22"/>
      <c r="W153" s="22">
        <v>23.0</v>
      </c>
      <c r="X153" s="22">
        <v>19.0</v>
      </c>
      <c r="Y153" s="22">
        <v>22.0</v>
      </c>
      <c r="Z153" s="22">
        <v>15.0</v>
      </c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</row>
    <row r="154">
      <c r="A154" s="16" t="s">
        <v>27</v>
      </c>
      <c r="B154" s="16" t="s">
        <v>272</v>
      </c>
      <c r="C154" s="17" t="s">
        <v>18</v>
      </c>
      <c r="D154" s="17" t="s">
        <v>29</v>
      </c>
      <c r="E154" s="17" t="s">
        <v>109</v>
      </c>
      <c r="F154" s="17" t="s">
        <v>273</v>
      </c>
      <c r="G154" s="17" t="s">
        <v>274</v>
      </c>
      <c r="H154" s="25" t="s">
        <v>274</v>
      </c>
      <c r="I154" s="19" t="s">
        <v>65</v>
      </c>
      <c r="J154" s="24" t="s">
        <v>275</v>
      </c>
      <c r="K154" s="21" t="b">
        <f t="shared" si="12"/>
        <v>1</v>
      </c>
      <c r="L154" s="21">
        <f t="shared" si="3"/>
        <v>0</v>
      </c>
      <c r="M154" s="21">
        <f t="array" ref="M154">IF(H154="","",SUMif(year(N$2:BO$2),M$2,N154:BO154))</f>
        <v>55</v>
      </c>
      <c r="N154" s="22"/>
      <c r="O154" s="22"/>
      <c r="P154" s="26"/>
      <c r="Q154" s="22"/>
      <c r="R154" s="22"/>
      <c r="S154" s="22"/>
      <c r="T154" s="22"/>
      <c r="U154" s="22"/>
      <c r="V154" s="22"/>
      <c r="W154" s="22">
        <v>16.0</v>
      </c>
      <c r="X154" s="22">
        <v>19.0</v>
      </c>
      <c r="Y154" s="22">
        <v>21.0</v>
      </c>
      <c r="Z154" s="22">
        <v>15.0</v>
      </c>
      <c r="AA154" s="22">
        <v>19.0</v>
      </c>
      <c r="AB154" s="22">
        <v>21.0</v>
      </c>
      <c r="AC154" s="22"/>
      <c r="AD154" s="22"/>
      <c r="AE154" s="22"/>
      <c r="AF154" s="22"/>
      <c r="AG154" s="22"/>
      <c r="AH154" s="22"/>
      <c r="AI154" s="22"/>
      <c r="AJ154" s="22"/>
      <c r="AK154" s="22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</row>
    <row r="155">
      <c r="A155" s="36" t="s">
        <v>27</v>
      </c>
      <c r="B155" s="36" t="s">
        <v>41</v>
      </c>
      <c r="C155" s="36" t="s">
        <v>18</v>
      </c>
      <c r="D155" s="36" t="s">
        <v>19</v>
      </c>
      <c r="E155" s="36" t="s">
        <v>20</v>
      </c>
      <c r="F155" s="36" t="s">
        <v>25</v>
      </c>
      <c r="G155" s="36" t="s">
        <v>26</v>
      </c>
      <c r="H155" s="37" t="s">
        <v>26</v>
      </c>
      <c r="I155" s="38" t="s">
        <v>23</v>
      </c>
      <c r="J155" s="39" t="s">
        <v>44</v>
      </c>
      <c r="K155" s="21" t="b">
        <f t="shared" si="12"/>
        <v>1</v>
      </c>
      <c r="L155" s="21">
        <f t="shared" si="3"/>
        <v>0</v>
      </c>
      <c r="M155" s="21">
        <f t="array" ref="M155">IF(H155="","",SUMif(year(N$2:BO$2),M$2,N155:BO155))</f>
        <v>0</v>
      </c>
      <c r="N155" s="22"/>
      <c r="O155" s="22"/>
      <c r="P155" s="22"/>
      <c r="Q155" s="22"/>
      <c r="R155" s="22"/>
      <c r="S155" s="22">
        <v>1.9</v>
      </c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</row>
    <row r="156">
      <c r="A156" s="36" t="s">
        <v>27</v>
      </c>
      <c r="B156" s="36" t="s">
        <v>204</v>
      </c>
      <c r="C156" s="36" t="s">
        <v>18</v>
      </c>
      <c r="D156" s="36" t="s">
        <v>19</v>
      </c>
      <c r="E156" s="36" t="s">
        <v>36</v>
      </c>
      <c r="F156" s="36" t="s">
        <v>37</v>
      </c>
      <c r="G156" s="36" t="s">
        <v>94</v>
      </c>
      <c r="H156" s="37" t="s">
        <v>94</v>
      </c>
      <c r="I156" s="38" t="s">
        <v>71</v>
      </c>
      <c r="J156" s="39" t="s">
        <v>44</v>
      </c>
      <c r="K156" s="21" t="b">
        <f t="shared" si="12"/>
        <v>1</v>
      </c>
      <c r="L156" s="21">
        <f t="shared" si="3"/>
        <v>0</v>
      </c>
      <c r="M156" s="21">
        <f t="array" ref="M156">IF(H156="","",SUMif(year(N$2:BO$2),M$2,N156:BO156))</f>
        <v>0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>
        <v>23.0</v>
      </c>
      <c r="X156" s="22">
        <v>19.0</v>
      </c>
      <c r="Y156" s="22">
        <v>22.0</v>
      </c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</row>
    <row r="157">
      <c r="A157" s="36" t="s">
        <v>27</v>
      </c>
      <c r="B157" s="36" t="s">
        <v>204</v>
      </c>
      <c r="C157" s="36" t="s">
        <v>18</v>
      </c>
      <c r="D157" s="36" t="s">
        <v>19</v>
      </c>
      <c r="E157" s="36" t="s">
        <v>20</v>
      </c>
      <c r="F157" s="36" t="s">
        <v>260</v>
      </c>
      <c r="G157" s="36" t="s">
        <v>260</v>
      </c>
      <c r="H157" s="37" t="s">
        <v>261</v>
      </c>
      <c r="I157" s="38" t="s">
        <v>23</v>
      </c>
      <c r="J157" s="39" t="s">
        <v>205</v>
      </c>
      <c r="K157" s="21" t="b">
        <f t="shared" si="12"/>
        <v>1</v>
      </c>
      <c r="L157" s="21">
        <f t="shared" si="3"/>
        <v>0</v>
      </c>
      <c r="M157" s="21">
        <f t="array" ref="M157">IF(H157="","",SUMif(year(N$2:BO$2),M$2,N157:BO157))</f>
        <v>0</v>
      </c>
      <c r="N157" s="22"/>
      <c r="O157" s="22"/>
      <c r="P157" s="22"/>
      <c r="Q157" s="22"/>
      <c r="R157" s="22">
        <v>0.5</v>
      </c>
      <c r="S157" s="22">
        <v>2.5</v>
      </c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</row>
    <row r="158">
      <c r="A158" s="36" t="s">
        <v>27</v>
      </c>
      <c r="B158" s="36" t="s">
        <v>180</v>
      </c>
      <c r="C158" s="36" t="s">
        <v>18</v>
      </c>
      <c r="D158" s="36" t="s">
        <v>19</v>
      </c>
      <c r="E158" s="36" t="s">
        <v>54</v>
      </c>
      <c r="F158" s="36" t="s">
        <v>55</v>
      </c>
      <c r="G158" s="36" t="s">
        <v>56</v>
      </c>
      <c r="H158" s="37" t="s">
        <v>56</v>
      </c>
      <c r="I158" s="38" t="s">
        <v>57</v>
      </c>
      <c r="J158" s="39" t="s">
        <v>205</v>
      </c>
      <c r="K158" s="21" t="b">
        <f t="shared" si="12"/>
        <v>1</v>
      </c>
      <c r="L158" s="21">
        <f t="shared" si="3"/>
        <v>0</v>
      </c>
      <c r="M158" s="21">
        <f t="array" ref="M158">IF(H158="","",SUMif(year(N$2:BO$2),M$2,N158:BO158))</f>
        <v>0</v>
      </c>
      <c r="N158" s="22"/>
      <c r="O158" s="22"/>
      <c r="P158" s="22"/>
      <c r="Q158" s="22"/>
      <c r="R158" s="22"/>
      <c r="S158" s="22">
        <v>4.2</v>
      </c>
      <c r="T158" s="22">
        <v>11.5</v>
      </c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</row>
    <row r="159">
      <c r="A159" s="36" t="s">
        <v>27</v>
      </c>
      <c r="B159" s="36" t="s">
        <v>121</v>
      </c>
      <c r="C159" s="36" t="s">
        <v>18</v>
      </c>
      <c r="D159" s="36" t="s">
        <v>19</v>
      </c>
      <c r="E159" s="36" t="s">
        <v>20</v>
      </c>
      <c r="F159" s="36" t="s">
        <v>21</v>
      </c>
      <c r="G159" s="36" t="s">
        <v>22</v>
      </c>
      <c r="H159" s="37" t="s">
        <v>22</v>
      </c>
      <c r="I159" s="38" t="s">
        <v>23</v>
      </c>
      <c r="J159" s="24" t="s">
        <v>276</v>
      </c>
      <c r="K159" s="21" t="b">
        <f t="shared" si="12"/>
        <v>1</v>
      </c>
      <c r="L159" s="21">
        <f t="shared" si="3"/>
        <v>0</v>
      </c>
      <c r="M159" s="21">
        <f t="array" ref="M159">IF(H159="","",SUMif(year(N$2:BO$2),M$2,N159:BO159))</f>
        <v>0</v>
      </c>
      <c r="N159" s="22"/>
      <c r="O159" s="22"/>
      <c r="P159" s="22"/>
      <c r="Q159" s="22"/>
      <c r="R159" s="22"/>
      <c r="S159" s="22"/>
      <c r="T159" s="22"/>
      <c r="U159" s="22"/>
      <c r="V159" s="22">
        <v>11.0</v>
      </c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</row>
    <row r="160">
      <c r="A160" s="16" t="s">
        <v>27</v>
      </c>
      <c r="B160" s="16" t="s">
        <v>73</v>
      </c>
      <c r="C160" s="17" t="s">
        <v>150</v>
      </c>
      <c r="D160" s="17" t="s">
        <v>29</v>
      </c>
      <c r="E160" s="17" t="s">
        <v>46</v>
      </c>
      <c r="F160" s="17" t="s">
        <v>47</v>
      </c>
      <c r="G160" s="17" t="s">
        <v>277</v>
      </c>
      <c r="H160" s="25" t="s">
        <v>278</v>
      </c>
      <c r="I160" s="19" t="s">
        <v>33</v>
      </c>
      <c r="J160" s="24" t="s">
        <v>279</v>
      </c>
      <c r="K160" s="21" t="b">
        <f t="shared" si="12"/>
        <v>1</v>
      </c>
      <c r="L160" s="21">
        <f t="shared" si="3"/>
        <v>0</v>
      </c>
      <c r="M160" s="21">
        <f t="array" ref="M160">IF(H160="","",SUMif(year(N$2:BO$2),M$2,N160:BO160))</f>
        <v>20</v>
      </c>
      <c r="N160" s="22">
        <v>12.75</v>
      </c>
      <c r="O160" s="22">
        <v>15.0</v>
      </c>
      <c r="P160" s="22">
        <v>10.75</v>
      </c>
      <c r="Q160" s="22">
        <v>22.0</v>
      </c>
      <c r="R160" s="22">
        <v>16.0</v>
      </c>
      <c r="S160" s="22">
        <v>19.0</v>
      </c>
      <c r="T160" s="22">
        <v>13.0</v>
      </c>
      <c r="U160" s="22">
        <v>21.0</v>
      </c>
      <c r="V160" s="22">
        <v>17.0</v>
      </c>
      <c r="W160" s="40">
        <v>22.0</v>
      </c>
      <c r="X160" s="40">
        <v>19.0</v>
      </c>
      <c r="Y160" s="40">
        <v>22.0</v>
      </c>
      <c r="Z160" s="22">
        <v>15.0</v>
      </c>
      <c r="AA160" s="22">
        <v>5.0</v>
      </c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</row>
    <row r="161">
      <c r="A161" s="16" t="s">
        <v>27</v>
      </c>
      <c r="B161" s="16" t="s">
        <v>280</v>
      </c>
      <c r="C161" s="17" t="s">
        <v>18</v>
      </c>
      <c r="D161" s="17" t="s">
        <v>29</v>
      </c>
      <c r="E161" s="17" t="s">
        <v>109</v>
      </c>
      <c r="F161" s="17" t="s">
        <v>273</v>
      </c>
      <c r="G161" s="17" t="s">
        <v>281</v>
      </c>
      <c r="H161" s="25" t="s">
        <v>281</v>
      </c>
      <c r="I161" s="19" t="s">
        <v>33</v>
      </c>
      <c r="J161" s="41" t="s">
        <v>282</v>
      </c>
      <c r="K161" s="21" t="b">
        <f t="shared" si="12"/>
        <v>1</v>
      </c>
      <c r="L161" s="21">
        <f t="shared" si="3"/>
        <v>0</v>
      </c>
      <c r="M161" s="21">
        <f t="array" ref="M161">IF(H161="","",SUMif(year(N$2:BO$2),M$2,N161:BO161))</f>
        <v>0</v>
      </c>
      <c r="N161" s="22"/>
      <c r="O161" s="22"/>
      <c r="P161" s="22"/>
      <c r="Q161" s="22"/>
      <c r="R161" s="22"/>
      <c r="S161" s="22"/>
      <c r="T161" s="22"/>
      <c r="U161" s="22"/>
      <c r="V161" s="22"/>
      <c r="W161" s="22">
        <v>2.81</v>
      </c>
      <c r="X161" s="22">
        <v>19.0</v>
      </c>
      <c r="Y161" s="22">
        <v>21.0</v>
      </c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</row>
    <row r="162">
      <c r="A162" s="16" t="s">
        <v>27</v>
      </c>
      <c r="B162" s="16" t="s">
        <v>206</v>
      </c>
      <c r="C162" s="17" t="s">
        <v>18</v>
      </c>
      <c r="D162" s="17" t="s">
        <v>29</v>
      </c>
      <c r="E162" s="17" t="s">
        <v>109</v>
      </c>
      <c r="F162" s="17" t="s">
        <v>273</v>
      </c>
      <c r="G162" s="17" t="s">
        <v>281</v>
      </c>
      <c r="H162" s="25" t="s">
        <v>281</v>
      </c>
      <c r="I162" s="19" t="s">
        <v>33</v>
      </c>
      <c r="J162" s="41" t="s">
        <v>222</v>
      </c>
      <c r="K162" s="21" t="b">
        <f t="shared" si="12"/>
        <v>1</v>
      </c>
      <c r="L162" s="21">
        <f t="shared" si="3"/>
        <v>0</v>
      </c>
      <c r="M162" s="21">
        <f t="array" ref="M162">IF(H162="","",SUMif(year(N$2:BO$2),M$2,N162:BO162))</f>
        <v>0</v>
      </c>
      <c r="N162" s="22"/>
      <c r="O162" s="22"/>
      <c r="P162" s="22"/>
      <c r="Q162" s="22"/>
      <c r="R162" s="22"/>
      <c r="S162" s="22"/>
      <c r="T162" s="22"/>
      <c r="U162" s="22"/>
      <c r="V162" s="22"/>
      <c r="W162" s="22">
        <v>9.5</v>
      </c>
      <c r="X162" s="22">
        <v>19.0</v>
      </c>
      <c r="Y162" s="22">
        <v>22.0</v>
      </c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</row>
    <row r="163">
      <c r="A163" s="16" t="s">
        <v>27</v>
      </c>
      <c r="B163" s="16" t="s">
        <v>108</v>
      </c>
      <c r="C163" s="17" t="s">
        <v>18</v>
      </c>
      <c r="D163" s="17" t="s">
        <v>29</v>
      </c>
      <c r="E163" s="17" t="s">
        <v>109</v>
      </c>
      <c r="F163" s="17" t="s">
        <v>273</v>
      </c>
      <c r="G163" s="17" t="s">
        <v>281</v>
      </c>
      <c r="H163" s="25" t="s">
        <v>281</v>
      </c>
      <c r="I163" s="19" t="s">
        <v>33</v>
      </c>
      <c r="J163" s="41" t="s">
        <v>112</v>
      </c>
      <c r="K163" s="21" t="b">
        <f t="shared" si="12"/>
        <v>1</v>
      </c>
      <c r="L163" s="21">
        <f t="shared" si="3"/>
        <v>0</v>
      </c>
      <c r="M163" s="21">
        <f t="array" ref="M163">IF(H163="","",SUMif(year(N$2:BO$2),M$2,N163:BO163))</f>
        <v>0</v>
      </c>
      <c r="N163" s="22"/>
      <c r="O163" s="22"/>
      <c r="P163" s="22"/>
      <c r="Q163" s="22"/>
      <c r="R163" s="22"/>
      <c r="S163" s="22"/>
      <c r="T163" s="22"/>
      <c r="U163" s="22"/>
      <c r="V163" s="22"/>
      <c r="W163" s="22">
        <v>19.0</v>
      </c>
      <c r="X163" s="22">
        <v>19.0</v>
      </c>
      <c r="Y163" s="22">
        <v>22.0</v>
      </c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</row>
    <row r="164">
      <c r="A164" s="16" t="s">
        <v>16</v>
      </c>
      <c r="B164" s="16" t="s">
        <v>108</v>
      </c>
      <c r="C164" s="17" t="s">
        <v>18</v>
      </c>
      <c r="D164" s="17" t="s">
        <v>29</v>
      </c>
      <c r="E164" s="17" t="s">
        <v>109</v>
      </c>
      <c r="F164" s="17" t="s">
        <v>273</v>
      </c>
      <c r="G164" s="17" t="s">
        <v>281</v>
      </c>
      <c r="H164" s="25" t="s">
        <v>281</v>
      </c>
      <c r="I164" s="19" t="s">
        <v>33</v>
      </c>
      <c r="J164" s="41" t="s">
        <v>196</v>
      </c>
      <c r="K164" s="21" t="b">
        <f t="shared" si="12"/>
        <v>1</v>
      </c>
      <c r="L164" s="21">
        <f t="shared" si="3"/>
        <v>0</v>
      </c>
      <c r="M164" s="21">
        <f t="array" ref="M164">IF(H164="","",SUMif(year(N$2:BO$2),M$2,N164:BO164))</f>
        <v>0</v>
      </c>
      <c r="N164" s="22"/>
      <c r="O164" s="22"/>
      <c r="P164" s="22"/>
      <c r="Q164" s="22"/>
      <c r="R164" s="22"/>
      <c r="S164" s="22"/>
      <c r="T164" s="22"/>
      <c r="U164" s="22"/>
      <c r="V164" s="22"/>
      <c r="W164" s="22">
        <v>19.0</v>
      </c>
      <c r="X164" s="22">
        <v>19.0</v>
      </c>
      <c r="Y164" s="22">
        <v>22.0</v>
      </c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</row>
    <row r="165">
      <c r="A165" s="16" t="s">
        <v>27</v>
      </c>
      <c r="B165" s="16" t="s">
        <v>28</v>
      </c>
      <c r="C165" s="17" t="s">
        <v>18</v>
      </c>
      <c r="D165" s="17" t="s">
        <v>29</v>
      </c>
      <c r="E165" s="17" t="s">
        <v>68</v>
      </c>
      <c r="F165" s="17" t="s">
        <v>69</v>
      </c>
      <c r="G165" s="17" t="s">
        <v>283</v>
      </c>
      <c r="H165" s="25" t="s">
        <v>283</v>
      </c>
      <c r="I165" s="19" t="s">
        <v>71</v>
      </c>
      <c r="J165" s="24" t="s">
        <v>256</v>
      </c>
      <c r="K165" s="21" t="b">
        <f t="shared" si="12"/>
        <v>1</v>
      </c>
      <c r="L165" s="21">
        <f t="shared" si="3"/>
        <v>0</v>
      </c>
      <c r="M165" s="21">
        <f t="array" ref="M165">IF(H165="","",SUMif(year(N$2:BO$2),M$2,N165:BO165))</f>
        <v>247</v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>
        <v>7.0</v>
      </c>
      <c r="X165" s="22">
        <v>19.0</v>
      </c>
      <c r="Y165" s="22">
        <v>22.0</v>
      </c>
      <c r="Z165" s="22">
        <v>15.0</v>
      </c>
      <c r="AA165" s="22">
        <v>19.0</v>
      </c>
      <c r="AB165" s="22">
        <v>21.0</v>
      </c>
      <c r="AC165" s="22">
        <v>22.0</v>
      </c>
      <c r="AD165" s="22">
        <v>19.0</v>
      </c>
      <c r="AE165" s="22">
        <v>21.0</v>
      </c>
      <c r="AF165" s="22">
        <v>23.0</v>
      </c>
      <c r="AG165" s="22">
        <v>21.0</v>
      </c>
      <c r="AH165" s="22">
        <v>22.0</v>
      </c>
      <c r="AI165" s="22">
        <v>22.0</v>
      </c>
      <c r="AJ165" s="22">
        <v>20.0</v>
      </c>
      <c r="AK165" s="22">
        <v>22.0</v>
      </c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</row>
    <row r="166">
      <c r="A166" s="16" t="s">
        <v>27</v>
      </c>
      <c r="B166" s="16" t="s">
        <v>103</v>
      </c>
      <c r="C166" s="17" t="s">
        <v>18</v>
      </c>
      <c r="D166" s="17" t="s">
        <v>29</v>
      </c>
      <c r="E166" s="17" t="s">
        <v>79</v>
      </c>
      <c r="F166" s="17" t="s">
        <v>80</v>
      </c>
      <c r="G166" s="17" t="s">
        <v>81</v>
      </c>
      <c r="H166" s="25" t="s">
        <v>81</v>
      </c>
      <c r="I166" s="19" t="s">
        <v>65</v>
      </c>
      <c r="J166" s="24" t="s">
        <v>284</v>
      </c>
      <c r="K166" s="21" t="b">
        <f t="shared" si="12"/>
        <v>1</v>
      </c>
      <c r="L166" s="21">
        <f t="shared" si="3"/>
        <v>0</v>
      </c>
      <c r="M166" s="21">
        <f t="array" ref="M166">IF(H166="","",SUMif(year(N$2:BO$2),M$2,N166:BO166))</f>
        <v>34</v>
      </c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>
        <v>16.0</v>
      </c>
      <c r="Y166" s="22">
        <v>22.0</v>
      </c>
      <c r="Z166" s="22">
        <v>15.0</v>
      </c>
      <c r="AA166" s="22">
        <v>19.0</v>
      </c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</row>
    <row r="167">
      <c r="A167" s="16" t="s">
        <v>27</v>
      </c>
      <c r="B167" s="16" t="s">
        <v>78</v>
      </c>
      <c r="C167" s="17" t="s">
        <v>18</v>
      </c>
      <c r="D167" s="17" t="s">
        <v>29</v>
      </c>
      <c r="E167" s="17" t="s">
        <v>83</v>
      </c>
      <c r="F167" s="17" t="s">
        <v>84</v>
      </c>
      <c r="G167" s="17" t="s">
        <v>85</v>
      </c>
      <c r="H167" s="25" t="s">
        <v>86</v>
      </c>
      <c r="I167" s="19" t="s">
        <v>82</v>
      </c>
      <c r="J167" s="24" t="s">
        <v>285</v>
      </c>
      <c r="K167" s="21" t="b">
        <f t="shared" si="12"/>
        <v>1</v>
      </c>
      <c r="L167" s="21">
        <f t="shared" si="3"/>
        <v>0</v>
      </c>
      <c r="M167" s="21">
        <f t="array" ref="M167">IF(H167="","",SUMif(year(N$2:BO$2),M$2,N167:BO167))</f>
        <v>7</v>
      </c>
      <c r="N167" s="22"/>
      <c r="O167" s="22"/>
      <c r="P167" s="22"/>
      <c r="Q167" s="22">
        <v>5.0</v>
      </c>
      <c r="R167" s="22"/>
      <c r="S167" s="22"/>
      <c r="T167" s="22"/>
      <c r="U167" s="22">
        <v>0.4</v>
      </c>
      <c r="V167" s="22">
        <v>1.5</v>
      </c>
      <c r="W167" s="22"/>
      <c r="X167" s="22">
        <v>7.5</v>
      </c>
      <c r="Y167" s="22">
        <v>11.0</v>
      </c>
      <c r="Z167" s="22">
        <v>7.0</v>
      </c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</row>
    <row r="168">
      <c r="A168" s="16" t="s">
        <v>16</v>
      </c>
      <c r="B168" s="16" t="s">
        <v>35</v>
      </c>
      <c r="C168" s="17" t="s">
        <v>18</v>
      </c>
      <c r="D168" s="17" t="s">
        <v>19</v>
      </c>
      <c r="E168" s="17" t="s">
        <v>54</v>
      </c>
      <c r="F168" s="17" t="s">
        <v>55</v>
      </c>
      <c r="G168" s="17" t="s">
        <v>56</v>
      </c>
      <c r="H168" s="25" t="s">
        <v>56</v>
      </c>
      <c r="I168" s="19" t="s">
        <v>57</v>
      </c>
      <c r="J168" s="24" t="s">
        <v>195</v>
      </c>
      <c r="K168" s="21" t="b">
        <f t="shared" si="12"/>
        <v>1</v>
      </c>
      <c r="L168" s="21">
        <f t="shared" si="3"/>
        <v>0</v>
      </c>
      <c r="M168" s="21">
        <f t="array" ref="M168">IF(H168="","",SUMif(year(N$2:BO$2),M$2,N168:BO168))</f>
        <v>30</v>
      </c>
      <c r="N168" s="22"/>
      <c r="O168" s="22"/>
      <c r="P168" s="22"/>
      <c r="Q168" s="22"/>
      <c r="R168" s="22"/>
      <c r="S168" s="22"/>
      <c r="T168" s="22"/>
      <c r="U168" s="22"/>
      <c r="V168" s="22"/>
      <c r="W168" s="22">
        <v>23.0</v>
      </c>
      <c r="X168" s="22">
        <v>10.0</v>
      </c>
      <c r="Y168" s="22">
        <v>11.0</v>
      </c>
      <c r="Z168" s="22">
        <v>11.0</v>
      </c>
      <c r="AA168" s="22">
        <v>19.0</v>
      </c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</row>
    <row r="169">
      <c r="A169" s="16" t="s">
        <v>16</v>
      </c>
      <c r="B169" s="16" t="s">
        <v>35</v>
      </c>
      <c r="C169" s="17" t="s">
        <v>18</v>
      </c>
      <c r="D169" s="17" t="s">
        <v>19</v>
      </c>
      <c r="E169" s="17" t="s">
        <v>109</v>
      </c>
      <c r="F169" s="17" t="s">
        <v>110</v>
      </c>
      <c r="G169" s="17" t="s">
        <v>111</v>
      </c>
      <c r="H169" s="25" t="s">
        <v>111</v>
      </c>
      <c r="I169" s="19" t="s">
        <v>57</v>
      </c>
      <c r="J169" s="24" t="s">
        <v>195</v>
      </c>
      <c r="K169" s="21" t="b">
        <f t="shared" si="12"/>
        <v>1</v>
      </c>
      <c r="L169" s="21">
        <f t="shared" si="3"/>
        <v>0</v>
      </c>
      <c r="M169" s="21">
        <f t="array" ref="M169">IF(H169="","",SUMif(year(N$2:BO$2),M$2,N169:BO169))</f>
        <v>14</v>
      </c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>
        <v>9.0</v>
      </c>
      <c r="Y169" s="22">
        <v>11.0</v>
      </c>
      <c r="Z169" s="22">
        <v>4.0</v>
      </c>
      <c r="AA169" s="22"/>
      <c r="AB169" s="22">
        <v>10.0</v>
      </c>
      <c r="AC169" s="22"/>
      <c r="AD169" s="22"/>
      <c r="AE169" s="22"/>
      <c r="AF169" s="22"/>
      <c r="AG169" s="22"/>
      <c r="AH169" s="22"/>
      <c r="AI169" s="22"/>
      <c r="AJ169" s="22"/>
      <c r="AK169" s="22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</row>
    <row r="170">
      <c r="A170" s="16" t="s">
        <v>16</v>
      </c>
      <c r="B170" s="16" t="s">
        <v>187</v>
      </c>
      <c r="C170" s="17" t="s">
        <v>18</v>
      </c>
      <c r="D170" s="17" t="s">
        <v>29</v>
      </c>
      <c r="E170" s="17" t="s">
        <v>79</v>
      </c>
      <c r="F170" s="17" t="s">
        <v>80</v>
      </c>
      <c r="G170" s="17" t="s">
        <v>81</v>
      </c>
      <c r="H170" s="25" t="s">
        <v>81</v>
      </c>
      <c r="I170" s="19" t="s">
        <v>65</v>
      </c>
      <c r="J170" s="24" t="s">
        <v>286</v>
      </c>
      <c r="K170" s="21" t="b">
        <f t="shared" si="12"/>
        <v>1</v>
      </c>
      <c r="L170" s="21">
        <f t="shared" si="3"/>
        <v>0</v>
      </c>
      <c r="M170" s="21">
        <f t="array" ref="M170">IF(H170="","",SUMif(year(N$2:BO$2),M$2,N170:BO170))</f>
        <v>34</v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>
        <v>6.0</v>
      </c>
      <c r="X170" s="22">
        <v>8.0</v>
      </c>
      <c r="Y170" s="22">
        <v>8.0</v>
      </c>
      <c r="Z170" s="22">
        <v>15.0</v>
      </c>
      <c r="AA170" s="22">
        <v>19.0</v>
      </c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</row>
    <row r="171">
      <c r="A171" s="16" t="s">
        <v>16</v>
      </c>
      <c r="B171" s="16" t="s">
        <v>187</v>
      </c>
      <c r="C171" s="17" t="s">
        <v>18</v>
      </c>
      <c r="D171" s="17" t="s">
        <v>29</v>
      </c>
      <c r="E171" s="17" t="s">
        <v>83</v>
      </c>
      <c r="F171" s="17" t="s">
        <v>84</v>
      </c>
      <c r="G171" s="17" t="s">
        <v>85</v>
      </c>
      <c r="H171" s="25" t="s">
        <v>86</v>
      </c>
      <c r="I171" s="19" t="s">
        <v>82</v>
      </c>
      <c r="J171" s="24" t="s">
        <v>286</v>
      </c>
      <c r="K171" s="21" t="b">
        <f t="shared" si="12"/>
        <v>1</v>
      </c>
      <c r="L171" s="21">
        <f t="shared" si="3"/>
        <v>0</v>
      </c>
      <c r="M171" s="21">
        <f t="array" ref="M171">IF(H171="","",SUMif(year(N$2:BO$2),M$2,N171:BO171))</f>
        <v>20</v>
      </c>
      <c r="N171" s="22"/>
      <c r="O171" s="22"/>
      <c r="P171" s="22"/>
      <c r="Q171" s="22"/>
      <c r="R171" s="22"/>
      <c r="S171" s="22"/>
      <c r="T171" s="22"/>
      <c r="U171" s="22"/>
      <c r="V171" s="22">
        <v>1.0</v>
      </c>
      <c r="W171" s="22">
        <v>7.0</v>
      </c>
      <c r="X171" s="22">
        <v>15.0</v>
      </c>
      <c r="Y171" s="22">
        <v>15.0</v>
      </c>
      <c r="Z171" s="22">
        <v>5.0</v>
      </c>
      <c r="AA171" s="22">
        <v>5.0</v>
      </c>
      <c r="AB171" s="22">
        <v>5.0</v>
      </c>
      <c r="AC171" s="22">
        <v>5.0</v>
      </c>
      <c r="AD171" s="22"/>
      <c r="AE171" s="22"/>
      <c r="AF171" s="22"/>
      <c r="AG171" s="22"/>
      <c r="AH171" s="22"/>
      <c r="AI171" s="22"/>
      <c r="AJ171" s="22"/>
      <c r="AK171" s="22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</row>
    <row r="172">
      <c r="A172" s="16" t="s">
        <v>27</v>
      </c>
      <c r="B172" s="16" t="s">
        <v>67</v>
      </c>
      <c r="C172" s="17" t="s">
        <v>18</v>
      </c>
      <c r="D172" s="17" t="s">
        <v>29</v>
      </c>
      <c r="E172" s="17" t="s">
        <v>90</v>
      </c>
      <c r="F172" s="17" t="s">
        <v>91</v>
      </c>
      <c r="G172" s="17" t="s">
        <v>287</v>
      </c>
      <c r="H172" s="25" t="s">
        <v>287</v>
      </c>
      <c r="I172" s="19" t="s">
        <v>33</v>
      </c>
      <c r="J172" s="24" t="s">
        <v>254</v>
      </c>
      <c r="K172" s="21" t="b">
        <f t="shared" si="12"/>
        <v>1</v>
      </c>
      <c r="L172" s="21">
        <f t="shared" si="3"/>
        <v>0</v>
      </c>
      <c r="M172" s="21">
        <f t="array" ref="M172">IF(H172="","",SUMif(year(N$2:BO$2),M$2,N172:BO172))</f>
        <v>55</v>
      </c>
      <c r="N172" s="22"/>
      <c r="O172" s="22"/>
      <c r="P172" s="22"/>
      <c r="Q172" s="22"/>
      <c r="R172" s="22">
        <v>5.0</v>
      </c>
      <c r="S172" s="22">
        <v>19.0</v>
      </c>
      <c r="T172" s="22">
        <v>19.0</v>
      </c>
      <c r="U172" s="22">
        <v>19.0</v>
      </c>
      <c r="V172" s="22">
        <v>22.0</v>
      </c>
      <c r="W172" s="22">
        <v>13.0</v>
      </c>
      <c r="X172" s="22">
        <v>19.0</v>
      </c>
      <c r="Y172" s="22">
        <v>22.0</v>
      </c>
      <c r="Z172" s="22">
        <v>15.0</v>
      </c>
      <c r="AA172" s="22">
        <v>19.0</v>
      </c>
      <c r="AB172" s="22">
        <v>21.0</v>
      </c>
      <c r="AC172" s="22"/>
      <c r="AD172" s="22"/>
      <c r="AE172" s="22"/>
      <c r="AF172" s="22"/>
      <c r="AG172" s="22"/>
      <c r="AH172" s="22"/>
      <c r="AI172" s="22"/>
      <c r="AJ172" s="22"/>
      <c r="AK172" s="22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</row>
    <row r="173">
      <c r="A173" s="16" t="s">
        <v>27</v>
      </c>
      <c r="B173" s="16" t="s">
        <v>141</v>
      </c>
      <c r="C173" s="17" t="s">
        <v>18</v>
      </c>
      <c r="D173" s="17" t="s">
        <v>29</v>
      </c>
      <c r="E173" s="17" t="s">
        <v>113</v>
      </c>
      <c r="F173" s="17" t="s">
        <v>114</v>
      </c>
      <c r="G173" s="17" t="s">
        <v>115</v>
      </c>
      <c r="H173" s="42" t="s">
        <v>115</v>
      </c>
      <c r="I173" s="19" t="s">
        <v>65</v>
      </c>
      <c r="J173" s="20" t="s">
        <v>288</v>
      </c>
      <c r="K173" s="21" t="b">
        <v>1</v>
      </c>
      <c r="L173" s="21">
        <f t="shared" si="3"/>
        <v>0</v>
      </c>
      <c r="M173" s="21">
        <f t="array" ref="M173">IF(H173="","",SUMif(year(N$2:BO$2),M$2,N173:BO173))</f>
        <v>34</v>
      </c>
      <c r="N173" s="22">
        <v>17.08</v>
      </c>
      <c r="O173" s="22">
        <v>19.53</v>
      </c>
      <c r="P173" s="22">
        <v>21.0</v>
      </c>
      <c r="Q173" s="22">
        <v>22.0</v>
      </c>
      <c r="R173" s="22">
        <v>17.5</v>
      </c>
      <c r="S173" s="22">
        <v>18.6</v>
      </c>
      <c r="T173" s="22">
        <v>9.0</v>
      </c>
      <c r="U173" s="22">
        <v>17.28</v>
      </c>
      <c r="V173" s="22">
        <v>14.0</v>
      </c>
      <c r="W173" s="22">
        <v>15.0</v>
      </c>
      <c r="X173" s="22">
        <v>18.0</v>
      </c>
      <c r="Y173" s="22">
        <v>20.0</v>
      </c>
      <c r="Z173" s="22">
        <v>15.0</v>
      </c>
      <c r="AA173" s="22">
        <v>19.0</v>
      </c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</row>
    <row r="174">
      <c r="A174" s="16" t="s">
        <v>27</v>
      </c>
      <c r="B174" s="16" t="s">
        <v>280</v>
      </c>
      <c r="C174" s="17" t="s">
        <v>18</v>
      </c>
      <c r="D174" s="17" t="s">
        <v>19</v>
      </c>
      <c r="E174" s="17" t="s">
        <v>109</v>
      </c>
      <c r="F174" s="17" t="s">
        <v>110</v>
      </c>
      <c r="G174" s="17" t="s">
        <v>111</v>
      </c>
      <c r="H174" s="25" t="s">
        <v>111</v>
      </c>
      <c r="I174" s="19" t="s">
        <v>57</v>
      </c>
      <c r="J174" s="24" t="s">
        <v>282</v>
      </c>
      <c r="K174" s="21" t="b">
        <f t="shared" ref="K174:K906" si="13">if(H174="","",NOT(ISNA(VLOOKUP(J174,'Команда'!G:G,1,false))))</f>
        <v>1</v>
      </c>
      <c r="L174" s="21">
        <f t="shared" si="3"/>
        <v>0</v>
      </c>
      <c r="M174" s="21">
        <f t="array" ref="M174">IF(H174="","",SUMif(year(N$2:BO$2),M$2,N174:BO174))</f>
        <v>34</v>
      </c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>
        <v>15.0</v>
      </c>
      <c r="AA174" s="22">
        <v>19.0</v>
      </c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</row>
    <row r="175">
      <c r="A175" s="16" t="s">
        <v>16</v>
      </c>
      <c r="B175" s="16" t="s">
        <v>35</v>
      </c>
      <c r="C175" s="17" t="s">
        <v>18</v>
      </c>
      <c r="D175" s="17" t="s">
        <v>19</v>
      </c>
      <c r="E175" s="17" t="s">
        <v>109</v>
      </c>
      <c r="F175" s="17" t="s">
        <v>110</v>
      </c>
      <c r="G175" s="17" t="s">
        <v>111</v>
      </c>
      <c r="H175" s="25" t="s">
        <v>111</v>
      </c>
      <c r="I175" s="19" t="s">
        <v>57</v>
      </c>
      <c r="J175" s="24" t="s">
        <v>194</v>
      </c>
      <c r="K175" s="21" t="b">
        <f t="shared" si="13"/>
        <v>1</v>
      </c>
      <c r="L175" s="21">
        <f t="shared" si="3"/>
        <v>0</v>
      </c>
      <c r="M175" s="21">
        <f t="array" ref="M175">IF(H175="","",SUMif(year(N$2:BO$2),M$2,N175:BO175))</f>
        <v>19</v>
      </c>
      <c r="N175" s="22"/>
      <c r="O175" s="22"/>
      <c r="P175" s="22"/>
      <c r="Q175" s="22"/>
      <c r="R175" s="22"/>
      <c r="S175" s="22"/>
      <c r="T175" s="22"/>
      <c r="U175" s="22"/>
      <c r="V175" s="22"/>
      <c r="W175" s="22">
        <v>10.0</v>
      </c>
      <c r="X175" s="22">
        <v>9.0</v>
      </c>
      <c r="Y175" s="22">
        <v>11.0</v>
      </c>
      <c r="Z175" s="22"/>
      <c r="AA175" s="22">
        <v>19.0</v>
      </c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</row>
    <row r="176">
      <c r="A176" s="16" t="s">
        <v>27</v>
      </c>
      <c r="B176" s="16" t="s">
        <v>73</v>
      </c>
      <c r="C176" s="17" t="s">
        <v>18</v>
      </c>
      <c r="D176" s="17" t="s">
        <v>29</v>
      </c>
      <c r="E176" s="17" t="s">
        <v>46</v>
      </c>
      <c r="F176" s="17" t="s">
        <v>47</v>
      </c>
      <c r="G176" s="17" t="s">
        <v>202</v>
      </c>
      <c r="H176" s="18" t="s">
        <v>202</v>
      </c>
      <c r="I176" s="19" t="s">
        <v>33</v>
      </c>
      <c r="J176" s="24" t="s">
        <v>289</v>
      </c>
      <c r="K176" s="21" t="b">
        <f t="shared" si="13"/>
        <v>1</v>
      </c>
      <c r="L176" s="21">
        <f t="shared" si="3"/>
        <v>0</v>
      </c>
      <c r="M176" s="21">
        <f t="array" ref="M176">IF(H176="","",SUMif(year(N$2:BO$2),M$2,N176:BO176))</f>
        <v>55</v>
      </c>
      <c r="N176" s="22">
        <v>17.0</v>
      </c>
      <c r="O176" s="22">
        <v>19.0</v>
      </c>
      <c r="P176" s="22">
        <v>21.0</v>
      </c>
      <c r="Q176" s="22">
        <v>22.0</v>
      </c>
      <c r="R176" s="22">
        <v>18.0</v>
      </c>
      <c r="S176" s="22">
        <v>19.0</v>
      </c>
      <c r="T176" s="22">
        <v>15.0</v>
      </c>
      <c r="U176" s="22">
        <v>21.0</v>
      </c>
      <c r="V176" s="22">
        <v>22.0</v>
      </c>
      <c r="W176" s="22">
        <v>18.0</v>
      </c>
      <c r="X176" s="22">
        <v>19.0</v>
      </c>
      <c r="Y176" s="22">
        <v>22.0</v>
      </c>
      <c r="Z176" s="22">
        <v>15.0</v>
      </c>
      <c r="AA176" s="22">
        <v>19.0</v>
      </c>
      <c r="AB176" s="22">
        <v>21.0</v>
      </c>
      <c r="AC176" s="22"/>
      <c r="AD176" s="22"/>
      <c r="AE176" s="22"/>
      <c r="AF176" s="22"/>
      <c r="AG176" s="22"/>
      <c r="AH176" s="22"/>
      <c r="AI176" s="22"/>
      <c r="AJ176" s="22"/>
      <c r="AK176" s="22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</row>
    <row r="177">
      <c r="A177" s="16" t="s">
        <v>27</v>
      </c>
      <c r="B177" s="16" t="s">
        <v>206</v>
      </c>
      <c r="C177" s="17" t="s">
        <v>18</v>
      </c>
      <c r="D177" s="17" t="s">
        <v>19</v>
      </c>
      <c r="E177" s="17" t="s">
        <v>109</v>
      </c>
      <c r="F177" s="17" t="s">
        <v>110</v>
      </c>
      <c r="G177" s="17" t="s">
        <v>111</v>
      </c>
      <c r="H177" s="25" t="s">
        <v>111</v>
      </c>
      <c r="I177" s="19" t="s">
        <v>57</v>
      </c>
      <c r="J177" s="24" t="s">
        <v>222</v>
      </c>
      <c r="K177" s="21" t="b">
        <f t="shared" si="13"/>
        <v>1</v>
      </c>
      <c r="L177" s="21">
        <f t="shared" si="3"/>
        <v>0</v>
      </c>
      <c r="M177" s="21">
        <f t="array" ref="M177">IF(H177="","",SUMif(year(N$2:BO$2),M$2,N177:BO177))</f>
        <v>34</v>
      </c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>
        <v>15.0</v>
      </c>
      <c r="AA177" s="22">
        <v>19.0</v>
      </c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</row>
    <row r="178">
      <c r="A178" s="16" t="s">
        <v>27</v>
      </c>
      <c r="B178" s="16" t="s">
        <v>159</v>
      </c>
      <c r="C178" s="17" t="s">
        <v>18</v>
      </c>
      <c r="D178" s="17" t="s">
        <v>29</v>
      </c>
      <c r="E178" s="17" t="s">
        <v>113</v>
      </c>
      <c r="F178" s="17" t="s">
        <v>114</v>
      </c>
      <c r="G178" s="17" t="s">
        <v>115</v>
      </c>
      <c r="H178" s="27" t="s">
        <v>115</v>
      </c>
      <c r="I178" s="19" t="s">
        <v>65</v>
      </c>
      <c r="J178" s="24" t="s">
        <v>252</v>
      </c>
      <c r="K178" s="21" t="b">
        <f t="shared" si="13"/>
        <v>1</v>
      </c>
      <c r="L178" s="21">
        <f t="shared" si="3"/>
        <v>0</v>
      </c>
      <c r="M178" s="21">
        <f t="array" ref="M178">IF(H178="","",SUMif(year(N$2:BO$2),M$2,N178:BO178))</f>
        <v>34</v>
      </c>
      <c r="N178" s="22">
        <v>10.0</v>
      </c>
      <c r="O178" s="22">
        <v>19.0</v>
      </c>
      <c r="P178" s="22">
        <v>21.0</v>
      </c>
      <c r="Q178" s="22">
        <v>20.5</v>
      </c>
      <c r="R178" s="22">
        <v>18.0</v>
      </c>
      <c r="S178" s="22">
        <v>12.65</v>
      </c>
      <c r="T178" s="22">
        <v>23.0</v>
      </c>
      <c r="U178" s="22">
        <v>11.0</v>
      </c>
      <c r="V178" s="22">
        <v>20.0</v>
      </c>
      <c r="W178" s="22">
        <v>22.0</v>
      </c>
      <c r="X178" s="22">
        <v>19.0</v>
      </c>
      <c r="Y178" s="22">
        <v>22.0</v>
      </c>
      <c r="Z178" s="22">
        <v>15.0</v>
      </c>
      <c r="AA178" s="22">
        <v>19.0</v>
      </c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</row>
    <row r="179">
      <c r="A179" s="16" t="s">
        <v>27</v>
      </c>
      <c r="B179" s="16" t="s">
        <v>211</v>
      </c>
      <c r="C179" s="17" t="s">
        <v>18</v>
      </c>
      <c r="D179" s="17" t="s">
        <v>29</v>
      </c>
      <c r="E179" s="17" t="s">
        <v>79</v>
      </c>
      <c r="F179" s="17" t="s">
        <v>80</v>
      </c>
      <c r="G179" s="17" t="s">
        <v>81</v>
      </c>
      <c r="H179" s="25" t="s">
        <v>81</v>
      </c>
      <c r="I179" s="19" t="s">
        <v>65</v>
      </c>
      <c r="J179" s="24" t="s">
        <v>290</v>
      </c>
      <c r="K179" s="21" t="b">
        <f t="shared" si="13"/>
        <v>1</v>
      </c>
      <c r="L179" s="21">
        <f t="shared" si="3"/>
        <v>0</v>
      </c>
      <c r="M179" s="21">
        <f t="array" ref="M179">IF(H179="","",SUMif(year(N$2:BO$2),M$2,N179:BO179))</f>
        <v>34</v>
      </c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>
        <v>16.0</v>
      </c>
      <c r="Y179" s="22">
        <v>15.0</v>
      </c>
      <c r="Z179" s="22">
        <v>15.0</v>
      </c>
      <c r="AA179" s="22">
        <v>19.0</v>
      </c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</row>
    <row r="180">
      <c r="A180" s="16" t="s">
        <v>27</v>
      </c>
      <c r="B180" s="16" t="s">
        <v>187</v>
      </c>
      <c r="C180" s="17" t="s">
        <v>18</v>
      </c>
      <c r="D180" s="17" t="s">
        <v>29</v>
      </c>
      <c r="E180" s="17" t="s">
        <v>83</v>
      </c>
      <c r="F180" s="17" t="s">
        <v>84</v>
      </c>
      <c r="G180" s="17" t="s">
        <v>85</v>
      </c>
      <c r="H180" s="25" t="s">
        <v>86</v>
      </c>
      <c r="I180" s="19" t="s">
        <v>82</v>
      </c>
      <c r="J180" s="24" t="s">
        <v>291</v>
      </c>
      <c r="K180" s="21" t="b">
        <f t="shared" si="13"/>
        <v>1</v>
      </c>
      <c r="L180" s="21">
        <f t="shared" si="3"/>
        <v>0</v>
      </c>
      <c r="M180" s="21">
        <f t="array" ref="M180">IF(H180="","",SUMif(year(N$2:BO$2),M$2,N180:BO180))</f>
        <v>77</v>
      </c>
      <c r="N180" s="22"/>
      <c r="O180" s="22"/>
      <c r="P180" s="22"/>
      <c r="Q180" s="22"/>
      <c r="R180" s="22"/>
      <c r="S180" s="22"/>
      <c r="T180" s="22"/>
      <c r="U180" s="22">
        <v>6.5</v>
      </c>
      <c r="V180" s="22">
        <v>10.0</v>
      </c>
      <c r="W180" s="22">
        <v>18.0</v>
      </c>
      <c r="X180" s="22">
        <v>10.0</v>
      </c>
      <c r="Y180" s="22">
        <v>22.0</v>
      </c>
      <c r="Z180" s="22">
        <v>15.0</v>
      </c>
      <c r="AA180" s="22">
        <v>19.0</v>
      </c>
      <c r="AB180" s="22">
        <v>21.0</v>
      </c>
      <c r="AC180" s="22">
        <v>22.0</v>
      </c>
      <c r="AD180" s="22"/>
      <c r="AE180" s="22"/>
      <c r="AF180" s="22"/>
      <c r="AG180" s="22"/>
      <c r="AH180" s="22"/>
      <c r="AI180" s="22"/>
      <c r="AJ180" s="22"/>
      <c r="AK180" s="22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</row>
    <row r="181">
      <c r="A181" s="16" t="s">
        <v>16</v>
      </c>
      <c r="B181" s="16" t="s">
        <v>67</v>
      </c>
      <c r="C181" s="17" t="s">
        <v>18</v>
      </c>
      <c r="D181" s="17" t="s">
        <v>29</v>
      </c>
      <c r="E181" s="17" t="s">
        <v>46</v>
      </c>
      <c r="F181" s="17" t="s">
        <v>47</v>
      </c>
      <c r="G181" s="17" t="s">
        <v>189</v>
      </c>
      <c r="H181" s="25" t="s">
        <v>189</v>
      </c>
      <c r="I181" s="19" t="s">
        <v>292</v>
      </c>
      <c r="J181" s="24" t="s">
        <v>72</v>
      </c>
      <c r="K181" s="21" t="b">
        <f t="shared" si="13"/>
        <v>1</v>
      </c>
      <c r="L181" s="21">
        <f t="shared" si="3"/>
        <v>0</v>
      </c>
      <c r="M181" s="21">
        <f t="array" ref="M181">IF(H181="","",SUMif(year(N$2:BO$2),M$2,N181:BO181))</f>
        <v>0</v>
      </c>
      <c r="N181" s="22"/>
      <c r="O181" s="22"/>
      <c r="P181" s="22"/>
      <c r="Q181" s="22"/>
      <c r="R181" s="22"/>
      <c r="S181" s="22"/>
      <c r="T181" s="22"/>
      <c r="U181" s="22"/>
      <c r="V181" s="22"/>
      <c r="W181" s="22">
        <v>4.0</v>
      </c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</row>
    <row r="182">
      <c r="A182" s="16" t="s">
        <v>27</v>
      </c>
      <c r="B182" s="16" t="s">
        <v>159</v>
      </c>
      <c r="C182" s="17" t="s">
        <v>18</v>
      </c>
      <c r="D182" s="17" t="s">
        <v>19</v>
      </c>
      <c r="E182" s="17" t="s">
        <v>54</v>
      </c>
      <c r="F182" s="17" t="s">
        <v>55</v>
      </c>
      <c r="G182" s="17" t="s">
        <v>56</v>
      </c>
      <c r="H182" s="25" t="s">
        <v>56</v>
      </c>
      <c r="I182" s="19" t="s">
        <v>57</v>
      </c>
      <c r="J182" s="24" t="s">
        <v>213</v>
      </c>
      <c r="K182" s="21" t="b">
        <f t="shared" si="13"/>
        <v>1</v>
      </c>
      <c r="L182" s="21">
        <f t="shared" si="3"/>
        <v>0</v>
      </c>
      <c r="M182" s="21">
        <f t="array" ref="M182">IF(H182="","",SUMif(year(N$2:BO$2),M$2,N182:BO182))</f>
        <v>19</v>
      </c>
      <c r="N182" s="22"/>
      <c r="O182" s="22"/>
      <c r="P182" s="22"/>
      <c r="Q182" s="22"/>
      <c r="R182" s="22"/>
      <c r="S182" s="22"/>
      <c r="T182" s="22"/>
      <c r="U182" s="22"/>
      <c r="V182" s="22">
        <v>19.0</v>
      </c>
      <c r="W182" s="22">
        <v>10.0</v>
      </c>
      <c r="X182" s="22">
        <v>10.0</v>
      </c>
      <c r="Y182" s="22">
        <v>10.0</v>
      </c>
      <c r="Z182" s="22">
        <v>6.0</v>
      </c>
      <c r="AA182" s="22">
        <v>7.0</v>
      </c>
      <c r="AB182" s="22">
        <v>6.0</v>
      </c>
      <c r="AC182" s="22"/>
      <c r="AD182" s="22"/>
      <c r="AE182" s="22"/>
      <c r="AF182" s="22"/>
      <c r="AG182" s="22"/>
      <c r="AH182" s="22"/>
      <c r="AI182" s="22"/>
      <c r="AJ182" s="22"/>
      <c r="AK182" s="22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</row>
    <row r="183">
      <c r="A183" s="16" t="s">
        <v>27</v>
      </c>
      <c r="B183" s="16" t="s">
        <v>159</v>
      </c>
      <c r="C183" s="17" t="s">
        <v>18</v>
      </c>
      <c r="D183" s="17" t="s">
        <v>19</v>
      </c>
      <c r="E183" s="17" t="s">
        <v>109</v>
      </c>
      <c r="F183" s="17" t="s">
        <v>110</v>
      </c>
      <c r="G183" s="17" t="s">
        <v>111</v>
      </c>
      <c r="H183" s="25" t="s">
        <v>111</v>
      </c>
      <c r="I183" s="19" t="s">
        <v>57</v>
      </c>
      <c r="J183" s="24" t="s">
        <v>213</v>
      </c>
      <c r="K183" s="21" t="b">
        <f t="shared" si="13"/>
        <v>1</v>
      </c>
      <c r="L183" s="21">
        <f t="shared" si="3"/>
        <v>0</v>
      </c>
      <c r="M183" s="21">
        <f t="array" ref="M183">IF(H183="","",SUMif(year(N$2:BO$2),M$2,N183:BO183))</f>
        <v>4</v>
      </c>
      <c r="N183" s="22"/>
      <c r="O183" s="22"/>
      <c r="P183" s="22"/>
      <c r="Q183" s="22"/>
      <c r="R183" s="22"/>
      <c r="S183" s="22"/>
      <c r="T183" s="22"/>
      <c r="U183" s="22"/>
      <c r="V183" s="22"/>
      <c r="W183" s="22">
        <v>13.0</v>
      </c>
      <c r="X183" s="22">
        <v>9.0</v>
      </c>
      <c r="Y183" s="22">
        <v>12.0</v>
      </c>
      <c r="Z183" s="22">
        <v>4.0</v>
      </c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</row>
    <row r="184">
      <c r="A184" s="16" t="s">
        <v>16</v>
      </c>
      <c r="B184" s="16" t="s">
        <v>103</v>
      </c>
      <c r="C184" s="17" t="s">
        <v>18</v>
      </c>
      <c r="D184" s="17" t="s">
        <v>19</v>
      </c>
      <c r="E184" s="17" t="s">
        <v>109</v>
      </c>
      <c r="F184" s="17" t="s">
        <v>110</v>
      </c>
      <c r="G184" s="17" t="s">
        <v>111</v>
      </c>
      <c r="H184" s="25" t="s">
        <v>111</v>
      </c>
      <c r="I184" s="19" t="s">
        <v>57</v>
      </c>
      <c r="J184" s="24" t="s">
        <v>104</v>
      </c>
      <c r="K184" s="21" t="b">
        <f t="shared" si="13"/>
        <v>1</v>
      </c>
      <c r="L184" s="21">
        <f t="shared" si="3"/>
        <v>0</v>
      </c>
      <c r="M184" s="21">
        <f t="array" ref="M184">IF(H184="","",SUMif(year(N$2:BO$2),M$2,N184:BO184))</f>
        <v>29</v>
      </c>
      <c r="N184" s="22"/>
      <c r="O184" s="22"/>
      <c r="P184" s="22"/>
      <c r="Q184" s="22"/>
      <c r="R184" s="22"/>
      <c r="S184" s="22"/>
      <c r="T184" s="22"/>
      <c r="U184" s="22"/>
      <c r="V184" s="22"/>
      <c r="W184" s="22">
        <v>13.0</v>
      </c>
      <c r="X184" s="22">
        <v>10.0</v>
      </c>
      <c r="Y184" s="22">
        <v>12.0</v>
      </c>
      <c r="Z184" s="22">
        <v>13.0</v>
      </c>
      <c r="AA184" s="22">
        <v>16.0</v>
      </c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</row>
    <row r="185">
      <c r="A185" s="16" t="s">
        <v>16</v>
      </c>
      <c r="B185" s="16" t="s">
        <v>28</v>
      </c>
      <c r="C185" s="17" t="s">
        <v>18</v>
      </c>
      <c r="D185" s="17" t="s">
        <v>19</v>
      </c>
      <c r="E185" s="17" t="s">
        <v>36</v>
      </c>
      <c r="F185" s="17" t="s">
        <v>37</v>
      </c>
      <c r="G185" s="17" t="s">
        <v>94</v>
      </c>
      <c r="H185" s="25" t="s">
        <v>94</v>
      </c>
      <c r="I185" s="19" t="s">
        <v>71</v>
      </c>
      <c r="J185" s="24" t="s">
        <v>130</v>
      </c>
      <c r="K185" s="21" t="b">
        <f t="shared" si="13"/>
        <v>1</v>
      </c>
      <c r="L185" s="21">
        <f t="shared" si="3"/>
        <v>0</v>
      </c>
      <c r="M185" s="21">
        <f t="array" ref="M185">IF(H185="","",SUMif(year(N$2:BO$2),M$2,N185:BO185))</f>
        <v>73</v>
      </c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>
        <v>16.0</v>
      </c>
      <c r="AC185" s="22">
        <v>17.0</v>
      </c>
      <c r="AD185" s="22">
        <v>19.0</v>
      </c>
      <c r="AE185" s="22">
        <v>21.0</v>
      </c>
      <c r="AF185" s="22"/>
      <c r="AG185" s="22"/>
      <c r="AH185" s="22"/>
      <c r="AI185" s="22"/>
      <c r="AJ185" s="22"/>
      <c r="AK185" s="22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</row>
    <row r="186">
      <c r="A186" s="16" t="s">
        <v>16</v>
      </c>
      <c r="B186" s="16" t="s">
        <v>35</v>
      </c>
      <c r="C186" s="17" t="s">
        <v>18</v>
      </c>
      <c r="D186" s="17" t="s">
        <v>19</v>
      </c>
      <c r="E186" s="17" t="s">
        <v>36</v>
      </c>
      <c r="F186" s="17" t="s">
        <v>37</v>
      </c>
      <c r="G186" s="17" t="s">
        <v>94</v>
      </c>
      <c r="H186" s="25" t="s">
        <v>94</v>
      </c>
      <c r="I186" s="19" t="s">
        <v>71</v>
      </c>
      <c r="J186" s="24" t="s">
        <v>293</v>
      </c>
      <c r="K186" s="21" t="b">
        <f t="shared" si="13"/>
        <v>1</v>
      </c>
      <c r="L186" s="21">
        <f t="shared" si="3"/>
        <v>0</v>
      </c>
      <c r="M186" s="21">
        <f t="array" ref="M186">IF(H186="","",SUMif(year(N$2:BO$2),M$2,N186:BO186))</f>
        <v>102</v>
      </c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>
        <v>19.0</v>
      </c>
      <c r="AB186" s="22">
        <v>21.0</v>
      </c>
      <c r="AC186" s="22">
        <v>22.0</v>
      </c>
      <c r="AD186" s="22">
        <v>19.0</v>
      </c>
      <c r="AE186" s="22">
        <v>21.0</v>
      </c>
      <c r="AF186" s="22"/>
      <c r="AG186" s="22"/>
      <c r="AH186" s="22"/>
      <c r="AI186" s="22"/>
      <c r="AJ186" s="22"/>
      <c r="AK186" s="22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</row>
    <row r="187">
      <c r="A187" s="16" t="s">
        <v>27</v>
      </c>
      <c r="B187" s="16" t="s">
        <v>294</v>
      </c>
      <c r="C187" s="17" t="s">
        <v>18</v>
      </c>
      <c r="D187" s="17" t="s">
        <v>29</v>
      </c>
      <c r="E187" s="17" t="s">
        <v>295</v>
      </c>
      <c r="F187" s="17" t="s">
        <v>296</v>
      </c>
      <c r="G187" s="17" t="s">
        <v>297</v>
      </c>
      <c r="H187" s="25" t="s">
        <v>297</v>
      </c>
      <c r="I187" s="19" t="s">
        <v>65</v>
      </c>
      <c r="J187" s="24" t="s">
        <v>298</v>
      </c>
      <c r="K187" s="21" t="b">
        <f t="shared" si="13"/>
        <v>1</v>
      </c>
      <c r="L187" s="21">
        <f t="shared" si="3"/>
        <v>0</v>
      </c>
      <c r="M187" s="21">
        <f t="array" ref="M187">IF(H187="","",SUMif(year(N$2:BO$2),M$2,N187:BO187))</f>
        <v>72</v>
      </c>
      <c r="N187" s="22"/>
      <c r="O187" s="22"/>
      <c r="P187" s="22"/>
      <c r="Q187" s="43">
        <v>11.0</v>
      </c>
      <c r="R187" s="22">
        <v>18.0</v>
      </c>
      <c r="S187" s="22">
        <v>17.0</v>
      </c>
      <c r="T187" s="22">
        <v>20.0</v>
      </c>
      <c r="U187" s="22">
        <v>21.0</v>
      </c>
      <c r="V187" s="22">
        <v>20.0</v>
      </c>
      <c r="W187" s="22">
        <v>23.0</v>
      </c>
      <c r="X187" s="22">
        <v>17.0</v>
      </c>
      <c r="Y187" s="22">
        <v>20.0</v>
      </c>
      <c r="Z187" s="22">
        <v>6.0</v>
      </c>
      <c r="AA187" s="22">
        <v>6.0</v>
      </c>
      <c r="AB187" s="22">
        <v>6.0</v>
      </c>
      <c r="AC187" s="22">
        <v>6.0</v>
      </c>
      <c r="AD187" s="22">
        <v>6.0</v>
      </c>
      <c r="AE187" s="22">
        <v>6.0</v>
      </c>
      <c r="AF187" s="22">
        <v>6.0</v>
      </c>
      <c r="AG187" s="22">
        <v>6.0</v>
      </c>
      <c r="AH187" s="22">
        <v>6.0</v>
      </c>
      <c r="AI187" s="22">
        <v>6.0</v>
      </c>
      <c r="AJ187" s="22">
        <v>6.0</v>
      </c>
      <c r="AK187" s="22">
        <v>6.0</v>
      </c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</row>
    <row r="188">
      <c r="A188" s="16" t="s">
        <v>16</v>
      </c>
      <c r="B188" s="16" t="s">
        <v>35</v>
      </c>
      <c r="C188" s="17" t="s">
        <v>18</v>
      </c>
      <c r="D188" s="17" t="s">
        <v>19</v>
      </c>
      <c r="E188" s="17" t="s">
        <v>54</v>
      </c>
      <c r="F188" s="17" t="s">
        <v>55</v>
      </c>
      <c r="G188" s="17" t="s">
        <v>56</v>
      </c>
      <c r="H188" s="25" t="s">
        <v>56</v>
      </c>
      <c r="I188" s="19" t="s">
        <v>57</v>
      </c>
      <c r="J188" s="24" t="s">
        <v>194</v>
      </c>
      <c r="K188" s="21" t="b">
        <f t="shared" si="13"/>
        <v>1</v>
      </c>
      <c r="L188" s="21">
        <f t="shared" si="3"/>
        <v>0</v>
      </c>
      <c r="M188" s="21">
        <f t="array" ref="M188">IF(H188="","",SUMif(year(N$2:BO$2),M$2,N188:BO188))</f>
        <v>0</v>
      </c>
      <c r="N188" s="22"/>
      <c r="O188" s="22"/>
      <c r="P188" s="22"/>
      <c r="Q188" s="22"/>
      <c r="R188" s="22"/>
      <c r="S188" s="22"/>
      <c r="T188" s="22"/>
      <c r="U188" s="22"/>
      <c r="V188" s="22"/>
      <c r="W188" s="22">
        <v>13.0</v>
      </c>
      <c r="X188" s="22">
        <v>10.0</v>
      </c>
      <c r="Y188" s="22">
        <v>11.0</v>
      </c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</row>
    <row r="189">
      <c r="A189" s="16" t="s">
        <v>16</v>
      </c>
      <c r="B189" s="16" t="s">
        <v>16</v>
      </c>
      <c r="C189" s="17" t="s">
        <v>18</v>
      </c>
      <c r="D189" s="17" t="s">
        <v>19</v>
      </c>
      <c r="E189" s="17" t="s">
        <v>36</v>
      </c>
      <c r="F189" s="17" t="s">
        <v>37</v>
      </c>
      <c r="G189" s="17" t="s">
        <v>38</v>
      </c>
      <c r="H189" s="25" t="s">
        <v>38</v>
      </c>
      <c r="I189" s="19" t="s">
        <v>39</v>
      </c>
      <c r="J189" s="24" t="s">
        <v>299</v>
      </c>
      <c r="K189" s="21" t="b">
        <f t="shared" si="13"/>
        <v>1</v>
      </c>
      <c r="L189" s="21">
        <f t="shared" si="3"/>
        <v>0</v>
      </c>
      <c r="M189" s="21">
        <f t="array" ref="M189">IF(H189="","",SUMif(year(N$2:BO$2),M$2,N189:BO189))</f>
        <v>140</v>
      </c>
      <c r="N189" s="22">
        <v>17.0</v>
      </c>
      <c r="O189" s="22">
        <v>20.0</v>
      </c>
      <c r="P189" s="22">
        <v>21.0</v>
      </c>
      <c r="Q189" s="22">
        <v>22.0</v>
      </c>
      <c r="R189" s="22">
        <v>18.0</v>
      </c>
      <c r="S189" s="22">
        <v>19.0</v>
      </c>
      <c r="T189" s="22">
        <v>23.0</v>
      </c>
      <c r="U189" s="22">
        <v>21.0</v>
      </c>
      <c r="V189" s="22">
        <v>22.0</v>
      </c>
      <c r="W189" s="22">
        <v>23.0</v>
      </c>
      <c r="X189" s="22">
        <v>19.0</v>
      </c>
      <c r="Y189" s="22">
        <v>22.0</v>
      </c>
      <c r="Z189" s="22">
        <v>15.0</v>
      </c>
      <c r="AA189" s="22">
        <v>19.0</v>
      </c>
      <c r="AB189" s="22">
        <v>21.0</v>
      </c>
      <c r="AC189" s="22">
        <v>22.0</v>
      </c>
      <c r="AD189" s="22">
        <v>19.0</v>
      </c>
      <c r="AE189" s="22">
        <v>21.0</v>
      </c>
      <c r="AF189" s="22">
        <v>23.0</v>
      </c>
      <c r="AG189" s="22"/>
      <c r="AH189" s="22"/>
      <c r="AI189" s="22"/>
      <c r="AJ189" s="22"/>
      <c r="AK189" s="22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</row>
    <row r="190">
      <c r="A190" s="16" t="s">
        <v>27</v>
      </c>
      <c r="B190" s="16" t="s">
        <v>28</v>
      </c>
      <c r="C190" s="17" t="s">
        <v>18</v>
      </c>
      <c r="D190" s="17" t="s">
        <v>19</v>
      </c>
      <c r="E190" s="17" t="s">
        <v>54</v>
      </c>
      <c r="F190" s="17" t="s">
        <v>55</v>
      </c>
      <c r="G190" s="17" t="s">
        <v>56</v>
      </c>
      <c r="H190" s="25" t="s">
        <v>56</v>
      </c>
      <c r="I190" s="19" t="s">
        <v>57</v>
      </c>
      <c r="J190" s="24" t="s">
        <v>246</v>
      </c>
      <c r="K190" s="21" t="b">
        <f t="shared" si="13"/>
        <v>1</v>
      </c>
      <c r="L190" s="21">
        <f t="shared" si="3"/>
        <v>0</v>
      </c>
      <c r="M190" s="21">
        <f t="array" ref="M190">IF(H190="","",SUMif(year(N$2:BO$2),M$2,N190:BO190))</f>
        <v>34</v>
      </c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>
        <v>10.0</v>
      </c>
      <c r="Y190" s="22">
        <v>22.0</v>
      </c>
      <c r="Z190" s="22">
        <v>15.0</v>
      </c>
      <c r="AA190" s="22">
        <v>19.0</v>
      </c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</row>
    <row r="191">
      <c r="A191" s="16" t="s">
        <v>16</v>
      </c>
      <c r="B191" s="16" t="s">
        <v>16</v>
      </c>
      <c r="C191" s="17" t="s">
        <v>18</v>
      </c>
      <c r="D191" s="17" t="s">
        <v>19</v>
      </c>
      <c r="E191" s="17" t="s">
        <v>36</v>
      </c>
      <c r="F191" s="17" t="s">
        <v>37</v>
      </c>
      <c r="G191" s="17" t="s">
        <v>94</v>
      </c>
      <c r="H191" s="18" t="s">
        <v>94</v>
      </c>
      <c r="I191" s="19" t="s">
        <v>71</v>
      </c>
      <c r="J191" s="20" t="s">
        <v>300</v>
      </c>
      <c r="K191" s="21" t="b">
        <f t="shared" si="13"/>
        <v>1</v>
      </c>
      <c r="L191" s="21">
        <f t="shared" si="3"/>
        <v>0</v>
      </c>
      <c r="M191" s="21">
        <f t="array" ref="M191">IF(H191="","",SUMif(year(N$2:BO$2),M$2,N191:BO191))</f>
        <v>53</v>
      </c>
      <c r="N191" s="22">
        <v>9.0</v>
      </c>
      <c r="O191" s="22">
        <v>10.0</v>
      </c>
      <c r="P191" s="22">
        <v>11.0</v>
      </c>
      <c r="Q191" s="22">
        <v>11.0</v>
      </c>
      <c r="R191" s="22">
        <v>9.0</v>
      </c>
      <c r="S191" s="22">
        <v>9.0</v>
      </c>
      <c r="T191" s="22">
        <v>12.0</v>
      </c>
      <c r="U191" s="22">
        <v>10.0</v>
      </c>
      <c r="V191" s="22">
        <v>12.0</v>
      </c>
      <c r="W191" s="22">
        <v>10.0</v>
      </c>
      <c r="X191" s="22">
        <v>10.0</v>
      </c>
      <c r="Y191" s="22">
        <v>11.0</v>
      </c>
      <c r="Z191" s="22">
        <v>5.0</v>
      </c>
      <c r="AA191" s="22">
        <v>9.0</v>
      </c>
      <c r="AB191" s="22">
        <v>10.0</v>
      </c>
      <c r="AC191" s="22">
        <v>10.0</v>
      </c>
      <c r="AD191" s="22">
        <v>9.0</v>
      </c>
      <c r="AE191" s="22">
        <v>10.0</v>
      </c>
      <c r="AF191" s="22"/>
      <c r="AG191" s="22"/>
      <c r="AH191" s="22"/>
      <c r="AI191" s="22"/>
      <c r="AJ191" s="22"/>
      <c r="AK191" s="22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</row>
    <row r="192">
      <c r="A192" s="16" t="s">
        <v>16</v>
      </c>
      <c r="B192" s="16" t="s">
        <v>16</v>
      </c>
      <c r="C192" s="17" t="s">
        <v>18</v>
      </c>
      <c r="D192" s="17" t="s">
        <v>19</v>
      </c>
      <c r="E192" s="17" t="s">
        <v>36</v>
      </c>
      <c r="F192" s="17" t="s">
        <v>37</v>
      </c>
      <c r="G192" s="17" t="s">
        <v>38</v>
      </c>
      <c r="H192" s="25" t="s">
        <v>38</v>
      </c>
      <c r="I192" s="19" t="s">
        <v>39</v>
      </c>
      <c r="J192" s="20" t="s">
        <v>300</v>
      </c>
      <c r="K192" s="21" t="b">
        <f t="shared" si="13"/>
        <v>1</v>
      </c>
      <c r="L192" s="21">
        <f t="shared" si="3"/>
        <v>0</v>
      </c>
      <c r="M192" s="21">
        <f t="array" ref="M192">IF(H192="","",SUMif(year(N$2:BO$2),M$2,N192:BO192))</f>
        <v>64</v>
      </c>
      <c r="N192" s="22">
        <v>8.0</v>
      </c>
      <c r="O192" s="22">
        <v>10.0</v>
      </c>
      <c r="P192" s="22">
        <v>10.0</v>
      </c>
      <c r="Q192" s="22">
        <v>11.0</v>
      </c>
      <c r="R192" s="22">
        <v>9.0</v>
      </c>
      <c r="S192" s="22">
        <v>10.0</v>
      </c>
      <c r="T192" s="22">
        <v>11.0</v>
      </c>
      <c r="U192" s="22">
        <v>11.0</v>
      </c>
      <c r="V192" s="22">
        <v>10.0</v>
      </c>
      <c r="W192" s="22">
        <v>13.0</v>
      </c>
      <c r="X192" s="22">
        <v>9.0</v>
      </c>
      <c r="Y192" s="22">
        <v>11.0</v>
      </c>
      <c r="Z192" s="22">
        <v>10.0</v>
      </c>
      <c r="AA192" s="22">
        <v>10.0</v>
      </c>
      <c r="AB192" s="22">
        <v>11.0</v>
      </c>
      <c r="AC192" s="22">
        <v>12.0</v>
      </c>
      <c r="AD192" s="22">
        <v>10.0</v>
      </c>
      <c r="AE192" s="22">
        <v>11.0</v>
      </c>
      <c r="AF192" s="22"/>
      <c r="AG192" s="22"/>
      <c r="AH192" s="22"/>
      <c r="AI192" s="22"/>
      <c r="AJ192" s="22"/>
      <c r="AK192" s="22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</row>
    <row r="193">
      <c r="A193" s="16" t="s">
        <v>16</v>
      </c>
      <c r="B193" s="16" t="s">
        <v>35</v>
      </c>
      <c r="C193" s="17" t="s">
        <v>18</v>
      </c>
      <c r="D193" s="17" t="s">
        <v>19</v>
      </c>
      <c r="E193" s="17" t="s">
        <v>36</v>
      </c>
      <c r="F193" s="17" t="s">
        <v>37</v>
      </c>
      <c r="G193" s="17" t="s">
        <v>94</v>
      </c>
      <c r="H193" s="25" t="s">
        <v>94</v>
      </c>
      <c r="I193" s="19" t="s">
        <v>71</v>
      </c>
      <c r="J193" s="24" t="s">
        <v>301</v>
      </c>
      <c r="K193" s="21" t="b">
        <f t="shared" si="13"/>
        <v>1</v>
      </c>
      <c r="L193" s="21">
        <f t="shared" si="3"/>
        <v>0</v>
      </c>
      <c r="M193" s="21">
        <f t="array" ref="M193">IF(H193="","",SUMif(year(N$2:BO$2),M$2,N193:BO193))</f>
        <v>0</v>
      </c>
      <c r="N193" s="22"/>
      <c r="O193" s="22"/>
      <c r="P193" s="22"/>
      <c r="Q193" s="22"/>
      <c r="R193" s="22"/>
      <c r="S193" s="22"/>
      <c r="T193" s="22"/>
      <c r="U193" s="22"/>
      <c r="V193" s="22">
        <v>22.0</v>
      </c>
      <c r="W193" s="22">
        <v>23.0</v>
      </c>
      <c r="X193" s="22">
        <v>19.0</v>
      </c>
      <c r="Y193" s="22">
        <v>10.0</v>
      </c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</row>
    <row r="194">
      <c r="A194" s="16" t="s">
        <v>27</v>
      </c>
      <c r="B194" s="16" t="s">
        <v>35</v>
      </c>
      <c r="C194" s="17" t="s">
        <v>18</v>
      </c>
      <c r="D194" s="17" t="s">
        <v>29</v>
      </c>
      <c r="E194" s="17" t="s">
        <v>151</v>
      </c>
      <c r="F194" s="17" t="s">
        <v>152</v>
      </c>
      <c r="G194" s="17" t="s">
        <v>153</v>
      </c>
      <c r="H194" s="25" t="s">
        <v>154</v>
      </c>
      <c r="I194" s="19" t="s">
        <v>65</v>
      </c>
      <c r="J194" s="24" t="s">
        <v>302</v>
      </c>
      <c r="K194" s="21" t="b">
        <f t="shared" si="13"/>
        <v>1</v>
      </c>
      <c r="L194" s="21">
        <f t="shared" si="3"/>
        <v>0</v>
      </c>
      <c r="M194" s="21">
        <f t="array" ref="M194">IF(H194="","",SUMif(year(N$2:BO$2),M$2,N194:BO194))</f>
        <v>34</v>
      </c>
      <c r="N194" s="22">
        <v>16.0</v>
      </c>
      <c r="O194" s="22">
        <v>20.0</v>
      </c>
      <c r="P194" s="44">
        <v>19.0</v>
      </c>
      <c r="Q194" s="22">
        <v>21.0</v>
      </c>
      <c r="R194" s="22">
        <v>18.0</v>
      </c>
      <c r="S194" s="22">
        <v>16.0</v>
      </c>
      <c r="T194" s="22">
        <v>23.0</v>
      </c>
      <c r="U194" s="22">
        <v>21.0</v>
      </c>
      <c r="V194" s="22">
        <v>21.0</v>
      </c>
      <c r="W194" s="22">
        <v>17.0</v>
      </c>
      <c r="X194" s="22">
        <v>16.0</v>
      </c>
      <c r="Y194" s="22">
        <v>22.0</v>
      </c>
      <c r="Z194" s="22">
        <v>15.0</v>
      </c>
      <c r="AA194" s="22">
        <v>19.0</v>
      </c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</row>
    <row r="195">
      <c r="A195" s="16" t="s">
        <v>27</v>
      </c>
      <c r="B195" s="16" t="s">
        <v>105</v>
      </c>
      <c r="C195" s="17" t="s">
        <v>18</v>
      </c>
      <c r="D195" s="17" t="s">
        <v>29</v>
      </c>
      <c r="E195" s="17" t="s">
        <v>46</v>
      </c>
      <c r="F195" s="17" t="s">
        <v>47</v>
      </c>
      <c r="G195" s="17" t="s">
        <v>50</v>
      </c>
      <c r="H195" s="25" t="s">
        <v>50</v>
      </c>
      <c r="I195" s="19" t="s">
        <v>33</v>
      </c>
      <c r="J195" s="24" t="s">
        <v>303</v>
      </c>
      <c r="K195" s="21" t="b">
        <f t="shared" si="13"/>
        <v>1</v>
      </c>
      <c r="L195" s="21">
        <f t="shared" si="3"/>
        <v>0</v>
      </c>
      <c r="M195" s="21">
        <f t="array" ref="M195">IF(H195="","",SUMif(year(N$2:BO$2),M$2,N195:BO195))</f>
        <v>55</v>
      </c>
      <c r="N195" s="22">
        <v>17.0</v>
      </c>
      <c r="O195" s="22">
        <v>20.0</v>
      </c>
      <c r="P195" s="22">
        <v>21.0</v>
      </c>
      <c r="Q195" s="22">
        <v>19.0</v>
      </c>
      <c r="R195" s="22">
        <v>18.0</v>
      </c>
      <c r="S195" s="22">
        <v>19.0</v>
      </c>
      <c r="T195" s="22">
        <v>14.0</v>
      </c>
      <c r="U195" s="22">
        <v>20.0</v>
      </c>
      <c r="V195" s="22">
        <v>22.0</v>
      </c>
      <c r="W195" s="22">
        <v>18.0</v>
      </c>
      <c r="X195" s="22">
        <v>19.0</v>
      </c>
      <c r="Y195" s="22">
        <v>22.0</v>
      </c>
      <c r="Z195" s="22">
        <v>15.0</v>
      </c>
      <c r="AA195" s="22">
        <v>19.0</v>
      </c>
      <c r="AB195" s="22">
        <v>21.0</v>
      </c>
      <c r="AC195" s="22"/>
      <c r="AD195" s="22"/>
      <c r="AE195" s="22"/>
      <c r="AF195" s="22"/>
      <c r="AG195" s="22"/>
      <c r="AH195" s="22"/>
      <c r="AI195" s="22"/>
      <c r="AJ195" s="22"/>
      <c r="AK195" s="22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</row>
    <row r="196">
      <c r="A196" s="16" t="s">
        <v>16</v>
      </c>
      <c r="B196" s="16" t="s">
        <v>208</v>
      </c>
      <c r="C196" s="17" t="s">
        <v>18</v>
      </c>
      <c r="D196" s="17" t="s">
        <v>29</v>
      </c>
      <c r="E196" s="17" t="s">
        <v>20</v>
      </c>
      <c r="F196" s="17" t="s">
        <v>118</v>
      </c>
      <c r="G196" s="17" t="s">
        <v>119</v>
      </c>
      <c r="H196" s="18" t="s">
        <v>119</v>
      </c>
      <c r="I196" s="19" t="s">
        <v>33</v>
      </c>
      <c r="J196" s="24" t="s">
        <v>209</v>
      </c>
      <c r="K196" s="21" t="b">
        <f t="shared" si="13"/>
        <v>1</v>
      </c>
      <c r="L196" s="21">
        <f t="shared" si="3"/>
        <v>0</v>
      </c>
      <c r="M196" s="21">
        <f t="array" ref="M196">IF(H196="","",SUMif(year(N$2:BO$2),M$2,N196:BO196))</f>
        <v>55</v>
      </c>
      <c r="N196" s="22">
        <v>15.25</v>
      </c>
      <c r="O196" s="22">
        <v>16.56</v>
      </c>
      <c r="P196" s="22">
        <v>8.0</v>
      </c>
      <c r="Q196" s="22">
        <v>22.0</v>
      </c>
      <c r="R196" s="22">
        <v>18.0</v>
      </c>
      <c r="S196" s="22">
        <v>19.0</v>
      </c>
      <c r="T196" s="22">
        <v>23.0</v>
      </c>
      <c r="U196" s="22">
        <v>21.0</v>
      </c>
      <c r="V196" s="22">
        <v>22.0</v>
      </c>
      <c r="W196" s="22">
        <v>23.0</v>
      </c>
      <c r="X196" s="22">
        <v>19.0</v>
      </c>
      <c r="Y196" s="22">
        <v>22.0</v>
      </c>
      <c r="Z196" s="22">
        <v>15.0</v>
      </c>
      <c r="AA196" s="22">
        <v>19.0</v>
      </c>
      <c r="AB196" s="22">
        <v>21.0</v>
      </c>
      <c r="AC196" s="22"/>
      <c r="AD196" s="22"/>
      <c r="AE196" s="22"/>
      <c r="AF196" s="22"/>
      <c r="AG196" s="22"/>
      <c r="AH196" s="22"/>
      <c r="AI196" s="22"/>
      <c r="AJ196" s="22"/>
      <c r="AK196" s="22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</row>
    <row r="197">
      <c r="A197" s="16" t="s">
        <v>27</v>
      </c>
      <c r="B197" s="16" t="s">
        <v>35</v>
      </c>
      <c r="C197" s="17" t="s">
        <v>18</v>
      </c>
      <c r="D197" s="17" t="s">
        <v>29</v>
      </c>
      <c r="E197" s="17" t="s">
        <v>304</v>
      </c>
      <c r="F197" s="17" t="s">
        <v>305</v>
      </c>
      <c r="G197" s="17" t="s">
        <v>306</v>
      </c>
      <c r="H197" s="25" t="s">
        <v>306</v>
      </c>
      <c r="I197" s="19" t="s">
        <v>57</v>
      </c>
      <c r="J197" s="24" t="s">
        <v>183</v>
      </c>
      <c r="K197" s="21" t="b">
        <f t="shared" si="13"/>
        <v>1</v>
      </c>
      <c r="L197" s="21">
        <f t="shared" si="3"/>
        <v>0</v>
      </c>
      <c r="M197" s="21">
        <f t="array" ref="M197">IF(H197="","",SUMif(year(N$2:BO$2),M$2,N197:BO197))</f>
        <v>0</v>
      </c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>
        <v>10.0</v>
      </c>
      <c r="Y197" s="22">
        <v>20.0</v>
      </c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</row>
    <row r="198">
      <c r="A198" s="36" t="s">
        <v>27</v>
      </c>
      <c r="B198" s="36" t="s">
        <v>159</v>
      </c>
      <c r="C198" s="36" t="s">
        <v>18</v>
      </c>
      <c r="D198" s="36" t="s">
        <v>19</v>
      </c>
      <c r="E198" s="36" t="s">
        <v>36</v>
      </c>
      <c r="F198" s="36" t="s">
        <v>37</v>
      </c>
      <c r="G198" s="36" t="s">
        <v>94</v>
      </c>
      <c r="H198" s="37" t="s">
        <v>94</v>
      </c>
      <c r="I198" s="38" t="s">
        <v>71</v>
      </c>
      <c r="J198" s="24" t="s">
        <v>276</v>
      </c>
      <c r="K198" s="21" t="b">
        <f t="shared" si="13"/>
        <v>1</v>
      </c>
      <c r="L198" s="21">
        <f t="shared" si="3"/>
        <v>0</v>
      </c>
      <c r="M198" s="21">
        <f t="array" ref="M198">IF(H198="","",SUMif(year(N$2:BO$2),M$2,N198:BO198))</f>
        <v>58</v>
      </c>
      <c r="N198" s="22"/>
      <c r="O198" s="22"/>
      <c r="P198" s="22"/>
      <c r="Q198" s="22"/>
      <c r="R198" s="22"/>
      <c r="S198" s="22"/>
      <c r="T198" s="22"/>
      <c r="U198" s="22"/>
      <c r="V198" s="22"/>
      <c r="W198" s="22">
        <v>11.5</v>
      </c>
      <c r="X198" s="22">
        <v>9.5</v>
      </c>
      <c r="Y198" s="22">
        <v>11.0</v>
      </c>
      <c r="Z198" s="22">
        <v>8.0</v>
      </c>
      <c r="AA198" s="22">
        <v>10.0</v>
      </c>
      <c r="AB198" s="22">
        <v>10.0</v>
      </c>
      <c r="AC198" s="22">
        <v>10.0</v>
      </c>
      <c r="AD198" s="22">
        <v>10.0</v>
      </c>
      <c r="AE198" s="22">
        <v>10.0</v>
      </c>
      <c r="AF198" s="22"/>
      <c r="AG198" s="22"/>
      <c r="AH198" s="22"/>
      <c r="AI198" s="22"/>
      <c r="AJ198" s="22"/>
      <c r="AK198" s="22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</row>
    <row r="199">
      <c r="A199" s="16" t="s">
        <v>27</v>
      </c>
      <c r="B199" s="16" t="s">
        <v>180</v>
      </c>
      <c r="C199" s="17" t="s">
        <v>18</v>
      </c>
      <c r="D199" s="17" t="s">
        <v>29</v>
      </c>
      <c r="E199" s="17" t="s">
        <v>61</v>
      </c>
      <c r="F199" s="17" t="s">
        <v>62</v>
      </c>
      <c r="G199" s="17" t="s">
        <v>244</v>
      </c>
      <c r="H199" s="25" t="s">
        <v>244</v>
      </c>
      <c r="I199" s="19" t="s">
        <v>65</v>
      </c>
      <c r="J199" s="24" t="s">
        <v>307</v>
      </c>
      <c r="K199" s="21" t="b">
        <f t="shared" si="13"/>
        <v>1</v>
      </c>
      <c r="L199" s="21">
        <f t="shared" si="3"/>
        <v>0</v>
      </c>
      <c r="M199" s="21">
        <f t="array" ref="M199">IF(H199="","",SUMif(year(N$2:BO$2),M$2,N199:BO199))</f>
        <v>247</v>
      </c>
      <c r="N199" s="22">
        <v>17.01</v>
      </c>
      <c r="O199" s="22">
        <v>15.99</v>
      </c>
      <c r="P199" s="22">
        <v>20.87</v>
      </c>
      <c r="Q199" s="22">
        <v>20.87</v>
      </c>
      <c r="R199" s="22">
        <v>18.0</v>
      </c>
      <c r="S199" s="22">
        <v>17.0</v>
      </c>
      <c r="T199" s="22">
        <v>23.0</v>
      </c>
      <c r="U199" s="22">
        <v>11.25</v>
      </c>
      <c r="V199" s="22">
        <v>20.0</v>
      </c>
      <c r="W199" s="22">
        <v>23.0</v>
      </c>
      <c r="X199" s="22">
        <v>19.0</v>
      </c>
      <c r="Y199" s="22">
        <v>22.0</v>
      </c>
      <c r="Z199" s="22">
        <v>15.0</v>
      </c>
      <c r="AA199" s="22">
        <v>19.0</v>
      </c>
      <c r="AB199" s="22">
        <v>21.0</v>
      </c>
      <c r="AC199" s="22">
        <v>22.0</v>
      </c>
      <c r="AD199" s="22">
        <v>19.0</v>
      </c>
      <c r="AE199" s="22">
        <v>21.0</v>
      </c>
      <c r="AF199" s="22">
        <v>23.0</v>
      </c>
      <c r="AG199" s="22">
        <v>21.0</v>
      </c>
      <c r="AH199" s="22">
        <v>22.0</v>
      </c>
      <c r="AI199" s="22">
        <v>22.0</v>
      </c>
      <c r="AJ199" s="22">
        <v>20.0</v>
      </c>
      <c r="AK199" s="22">
        <v>22.0</v>
      </c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</row>
    <row r="200">
      <c r="A200" s="16" t="s">
        <v>27</v>
      </c>
      <c r="B200" s="16" t="s">
        <v>121</v>
      </c>
      <c r="C200" s="17" t="s">
        <v>18</v>
      </c>
      <c r="D200" s="17" t="s">
        <v>19</v>
      </c>
      <c r="E200" s="17" t="s">
        <v>20</v>
      </c>
      <c r="F200" s="17" t="s">
        <v>42</v>
      </c>
      <c r="G200" s="17" t="s">
        <v>43</v>
      </c>
      <c r="H200" s="25" t="s">
        <v>43</v>
      </c>
      <c r="I200" s="19" t="s">
        <v>23</v>
      </c>
      <c r="J200" s="24" t="s">
        <v>122</v>
      </c>
      <c r="K200" s="21" t="b">
        <f t="shared" si="13"/>
        <v>1</v>
      </c>
      <c r="L200" s="21">
        <f t="shared" si="3"/>
        <v>0</v>
      </c>
      <c r="M200" s="21">
        <f t="array" ref="M200">IF(H200="","",SUMif(year(N$2:BO$2),M$2,N200:BO200))</f>
        <v>247</v>
      </c>
      <c r="N200" s="22">
        <v>9.9</v>
      </c>
      <c r="O200" s="22">
        <v>13.2</v>
      </c>
      <c r="P200" s="22">
        <v>16.4</v>
      </c>
      <c r="Q200" s="22">
        <v>21.3</v>
      </c>
      <c r="R200" s="22">
        <v>18.0</v>
      </c>
      <c r="S200" s="22">
        <v>14.8</v>
      </c>
      <c r="T200" s="22">
        <v>2.3</v>
      </c>
      <c r="U200" s="22">
        <v>12.6</v>
      </c>
      <c r="V200" s="22">
        <v>12.3</v>
      </c>
      <c r="W200" s="22">
        <v>11.5</v>
      </c>
      <c r="X200" s="22">
        <v>9.5</v>
      </c>
      <c r="Y200" s="22">
        <v>11.0</v>
      </c>
      <c r="Z200" s="22">
        <v>15.0</v>
      </c>
      <c r="AA200" s="22">
        <v>19.0</v>
      </c>
      <c r="AB200" s="22">
        <v>21.0</v>
      </c>
      <c r="AC200" s="22">
        <v>22.0</v>
      </c>
      <c r="AD200" s="22">
        <v>19.0</v>
      </c>
      <c r="AE200" s="22">
        <v>21.0</v>
      </c>
      <c r="AF200" s="22">
        <v>23.0</v>
      </c>
      <c r="AG200" s="22">
        <v>21.0</v>
      </c>
      <c r="AH200" s="22">
        <v>22.0</v>
      </c>
      <c r="AI200" s="22">
        <v>22.0</v>
      </c>
      <c r="AJ200" s="22">
        <v>20.0</v>
      </c>
      <c r="AK200" s="22">
        <v>22.0</v>
      </c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</row>
    <row r="201">
      <c r="A201" s="16" t="s">
        <v>27</v>
      </c>
      <c r="B201" s="16" t="s">
        <v>308</v>
      </c>
      <c r="C201" s="17" t="s">
        <v>18</v>
      </c>
      <c r="D201" s="17" t="s">
        <v>29</v>
      </c>
      <c r="E201" s="17" t="s">
        <v>20</v>
      </c>
      <c r="F201" s="17" t="s">
        <v>118</v>
      </c>
      <c r="G201" s="17" t="s">
        <v>119</v>
      </c>
      <c r="H201" s="18" t="s">
        <v>119</v>
      </c>
      <c r="I201" s="19" t="s">
        <v>33</v>
      </c>
      <c r="J201" s="20" t="s">
        <v>309</v>
      </c>
      <c r="K201" s="21" t="b">
        <f t="shared" si="13"/>
        <v>1</v>
      </c>
      <c r="L201" s="21">
        <f t="shared" si="3"/>
        <v>0</v>
      </c>
      <c r="M201" s="21">
        <f t="array" ref="M201">IF(H201="","",SUMif(year(N$2:BO$2),M$2,N201:BO201))</f>
        <v>1</v>
      </c>
      <c r="N201" s="22">
        <v>17.0</v>
      </c>
      <c r="O201" s="22">
        <v>15.44</v>
      </c>
      <c r="P201" s="22">
        <v>20.44</v>
      </c>
      <c r="Q201" s="22">
        <v>22.0</v>
      </c>
      <c r="R201" s="22">
        <v>18.0</v>
      </c>
      <c r="S201" s="22">
        <v>19.0</v>
      </c>
      <c r="T201" s="22">
        <v>23.0</v>
      </c>
      <c r="U201" s="22">
        <v>21.0</v>
      </c>
      <c r="V201" s="22">
        <v>22.0</v>
      </c>
      <c r="W201" s="22">
        <v>23.0</v>
      </c>
      <c r="X201" s="22">
        <v>17.0</v>
      </c>
      <c r="Y201" s="22">
        <v>22.0</v>
      </c>
      <c r="Z201" s="22">
        <v>1.0</v>
      </c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</row>
    <row r="202">
      <c r="A202" s="16" t="s">
        <v>16</v>
      </c>
      <c r="B202" s="16" t="s">
        <v>35</v>
      </c>
      <c r="C202" s="17" t="s">
        <v>18</v>
      </c>
      <c r="D202" s="17" t="s">
        <v>19</v>
      </c>
      <c r="E202" s="17" t="s">
        <v>54</v>
      </c>
      <c r="F202" s="17" t="s">
        <v>55</v>
      </c>
      <c r="G202" s="17" t="s">
        <v>56</v>
      </c>
      <c r="H202" s="25" t="s">
        <v>56</v>
      </c>
      <c r="I202" s="19" t="s">
        <v>57</v>
      </c>
      <c r="J202" s="24" t="s">
        <v>293</v>
      </c>
      <c r="K202" s="21" t="b">
        <f t="shared" si="13"/>
        <v>1</v>
      </c>
      <c r="L202" s="21">
        <f t="shared" si="3"/>
        <v>0</v>
      </c>
      <c r="M202" s="21">
        <f t="array" ref="M202">IF(H202="","",SUMif(year(N$2:BO$2),M$2,N202:BO202))</f>
        <v>15</v>
      </c>
      <c r="N202" s="22">
        <v>17.0</v>
      </c>
      <c r="O202" s="22">
        <v>20.0</v>
      </c>
      <c r="P202" s="22">
        <v>21.0</v>
      </c>
      <c r="Q202" s="22">
        <v>22.0</v>
      </c>
      <c r="R202" s="22"/>
      <c r="S202" s="22"/>
      <c r="T202" s="22"/>
      <c r="U202" s="22"/>
      <c r="V202" s="22"/>
      <c r="W202" s="22">
        <v>23.0</v>
      </c>
      <c r="X202" s="22">
        <v>19.0</v>
      </c>
      <c r="Y202" s="22">
        <v>22.0</v>
      </c>
      <c r="Z202" s="22">
        <v>15.0</v>
      </c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</row>
    <row r="203">
      <c r="A203" s="16" t="s">
        <v>16</v>
      </c>
      <c r="B203" s="16" t="s">
        <v>35</v>
      </c>
      <c r="C203" s="17" t="s">
        <v>18</v>
      </c>
      <c r="D203" s="17" t="s">
        <v>29</v>
      </c>
      <c r="E203" s="17" t="s">
        <v>113</v>
      </c>
      <c r="F203" s="17" t="s">
        <v>114</v>
      </c>
      <c r="G203" s="17" t="s">
        <v>310</v>
      </c>
      <c r="H203" s="25" t="s">
        <v>310</v>
      </c>
      <c r="I203" s="19" t="s">
        <v>71</v>
      </c>
      <c r="J203" s="24" t="s">
        <v>40</v>
      </c>
      <c r="K203" s="21" t="b">
        <f t="shared" si="13"/>
        <v>1</v>
      </c>
      <c r="L203" s="21">
        <f t="shared" si="3"/>
        <v>0</v>
      </c>
      <c r="M203" s="21">
        <f t="array" ref="M203">IF(H203="","",SUMif(year(N$2:BO$2),M$2,N203:BO203))</f>
        <v>0</v>
      </c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>
        <v>10.0</v>
      </c>
      <c r="Y203" s="22">
        <v>20.0</v>
      </c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</row>
    <row r="204">
      <c r="A204" s="16" t="s">
        <v>16</v>
      </c>
      <c r="B204" s="16" t="s">
        <v>35</v>
      </c>
      <c r="C204" s="17" t="s">
        <v>18</v>
      </c>
      <c r="D204" s="17" t="s">
        <v>29</v>
      </c>
      <c r="E204" s="17" t="s">
        <v>113</v>
      </c>
      <c r="F204" s="17" t="s">
        <v>114</v>
      </c>
      <c r="G204" s="17" t="s">
        <v>310</v>
      </c>
      <c r="H204" s="25" t="s">
        <v>310</v>
      </c>
      <c r="I204" s="19" t="s">
        <v>71</v>
      </c>
      <c r="J204" s="24" t="s">
        <v>52</v>
      </c>
      <c r="K204" s="21" t="b">
        <f t="shared" si="13"/>
        <v>1</v>
      </c>
      <c r="L204" s="21">
        <f t="shared" si="3"/>
        <v>0</v>
      </c>
      <c r="M204" s="21">
        <f t="array" ref="M204">IF(H204="","",SUMif(year(N$2:BO$2),M$2,N204:BO204))</f>
        <v>0</v>
      </c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>
        <v>10.0</v>
      </c>
      <c r="Y204" s="22">
        <v>20.0</v>
      </c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</row>
    <row r="205">
      <c r="A205" s="16" t="s">
        <v>16</v>
      </c>
      <c r="B205" s="16" t="s">
        <v>35</v>
      </c>
      <c r="C205" s="17" t="s">
        <v>18</v>
      </c>
      <c r="D205" s="17" t="s">
        <v>29</v>
      </c>
      <c r="E205" s="17" t="s">
        <v>113</v>
      </c>
      <c r="F205" s="17" t="s">
        <v>114</v>
      </c>
      <c r="G205" s="17" t="s">
        <v>310</v>
      </c>
      <c r="H205" s="25" t="s">
        <v>310</v>
      </c>
      <c r="I205" s="19" t="s">
        <v>71</v>
      </c>
      <c r="J205" s="24" t="s">
        <v>194</v>
      </c>
      <c r="K205" s="21" t="b">
        <f t="shared" si="13"/>
        <v>1</v>
      </c>
      <c r="L205" s="21">
        <f t="shared" si="3"/>
        <v>0</v>
      </c>
      <c r="M205" s="21">
        <f t="array" ref="M205">IF(H205="","",SUMif(year(N$2:BO$2),M$2,N205:BO205))</f>
        <v>0</v>
      </c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>
        <v>10.0</v>
      </c>
      <c r="Y205" s="22">
        <v>20.0</v>
      </c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</row>
    <row r="206">
      <c r="A206" s="16" t="s">
        <v>27</v>
      </c>
      <c r="B206" s="16" t="s">
        <v>35</v>
      </c>
      <c r="C206" s="17" t="s">
        <v>18</v>
      </c>
      <c r="D206" s="17" t="s">
        <v>29</v>
      </c>
      <c r="E206" s="17" t="s">
        <v>113</v>
      </c>
      <c r="F206" s="17" t="s">
        <v>114</v>
      </c>
      <c r="G206" s="17" t="s">
        <v>310</v>
      </c>
      <c r="H206" s="25" t="s">
        <v>310</v>
      </c>
      <c r="I206" s="19" t="s">
        <v>71</v>
      </c>
      <c r="J206" s="24" t="s">
        <v>95</v>
      </c>
      <c r="K206" s="21" t="b">
        <f t="shared" si="13"/>
        <v>1</v>
      </c>
      <c r="L206" s="21">
        <f t="shared" si="3"/>
        <v>0</v>
      </c>
      <c r="M206" s="21">
        <f t="array" ref="M206">IF(H206="","",SUMif(year(N$2:BO$2),M$2,N206:BO206))</f>
        <v>0</v>
      </c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>
        <v>10.0</v>
      </c>
      <c r="Y206" s="22">
        <v>20.0</v>
      </c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</row>
    <row r="207">
      <c r="A207" s="16" t="s">
        <v>27</v>
      </c>
      <c r="B207" s="16" t="s">
        <v>159</v>
      </c>
      <c r="C207" s="17" t="s">
        <v>18</v>
      </c>
      <c r="D207" s="17" t="s">
        <v>29</v>
      </c>
      <c r="E207" s="17" t="s">
        <v>113</v>
      </c>
      <c r="F207" s="17" t="s">
        <v>114</v>
      </c>
      <c r="G207" s="17" t="s">
        <v>310</v>
      </c>
      <c r="H207" s="25" t="s">
        <v>310</v>
      </c>
      <c r="I207" s="19" t="s">
        <v>71</v>
      </c>
      <c r="J207" s="24" t="s">
        <v>213</v>
      </c>
      <c r="K207" s="21" t="b">
        <f t="shared" si="13"/>
        <v>1</v>
      </c>
      <c r="L207" s="21">
        <f t="shared" si="3"/>
        <v>0</v>
      </c>
      <c r="M207" s="21">
        <f t="array" ref="M207">IF(H207="","",SUMif(year(N$2:BO$2),M$2,N207:BO207))</f>
        <v>0</v>
      </c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>
        <v>10.0</v>
      </c>
      <c r="Y207" s="22">
        <v>20.0</v>
      </c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</row>
    <row r="208">
      <c r="A208" s="16" t="s">
        <v>16</v>
      </c>
      <c r="B208" s="16" t="s">
        <v>35</v>
      </c>
      <c r="C208" s="17" t="s">
        <v>18</v>
      </c>
      <c r="D208" s="17" t="s">
        <v>29</v>
      </c>
      <c r="E208" s="17" t="s">
        <v>113</v>
      </c>
      <c r="F208" s="17" t="s">
        <v>114</v>
      </c>
      <c r="G208" s="17" t="s">
        <v>310</v>
      </c>
      <c r="H208" s="25" t="s">
        <v>310</v>
      </c>
      <c r="I208" s="19" t="s">
        <v>71</v>
      </c>
      <c r="J208" s="24" t="s">
        <v>293</v>
      </c>
      <c r="K208" s="21" t="b">
        <f t="shared" si="13"/>
        <v>1</v>
      </c>
      <c r="L208" s="21">
        <f t="shared" si="3"/>
        <v>0</v>
      </c>
      <c r="M208" s="21">
        <f t="array" ref="M208">IF(H208="","",SUMif(year(N$2:BO$2),M$2,N208:BO208))</f>
        <v>0</v>
      </c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>
        <v>10.0</v>
      </c>
      <c r="Y208" s="22">
        <v>20.0</v>
      </c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</row>
    <row r="209">
      <c r="A209" s="16" t="s">
        <v>16</v>
      </c>
      <c r="B209" s="16" t="s">
        <v>35</v>
      </c>
      <c r="C209" s="17" t="s">
        <v>18</v>
      </c>
      <c r="D209" s="17" t="s">
        <v>29</v>
      </c>
      <c r="E209" s="17" t="s">
        <v>113</v>
      </c>
      <c r="F209" s="17" t="s">
        <v>114</v>
      </c>
      <c r="G209" s="17" t="s">
        <v>310</v>
      </c>
      <c r="H209" s="25" t="s">
        <v>310</v>
      </c>
      <c r="I209" s="19" t="s">
        <v>71</v>
      </c>
      <c r="J209" s="24" t="s">
        <v>195</v>
      </c>
      <c r="K209" s="21" t="b">
        <f t="shared" si="13"/>
        <v>1</v>
      </c>
      <c r="L209" s="21">
        <f t="shared" si="3"/>
        <v>0</v>
      </c>
      <c r="M209" s="21">
        <f t="array" ref="M209">IF(H209="","",SUMif(year(N$2:BO$2),M$2,N209:BO209))</f>
        <v>0</v>
      </c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>
        <v>10.0</v>
      </c>
      <c r="Y209" s="22">
        <v>20.0</v>
      </c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</row>
    <row r="210">
      <c r="A210" s="16" t="s">
        <v>16</v>
      </c>
      <c r="B210" s="16" t="s">
        <v>28</v>
      </c>
      <c r="C210" s="17" t="s">
        <v>18</v>
      </c>
      <c r="D210" s="17" t="s">
        <v>29</v>
      </c>
      <c r="E210" s="17" t="s">
        <v>113</v>
      </c>
      <c r="F210" s="17" t="s">
        <v>114</v>
      </c>
      <c r="G210" s="17" t="s">
        <v>310</v>
      </c>
      <c r="H210" s="25" t="s">
        <v>310</v>
      </c>
      <c r="I210" s="19" t="s">
        <v>71</v>
      </c>
      <c r="J210" s="24" t="s">
        <v>130</v>
      </c>
      <c r="K210" s="21" t="b">
        <f t="shared" si="13"/>
        <v>1</v>
      </c>
      <c r="L210" s="21">
        <f t="shared" si="3"/>
        <v>0</v>
      </c>
      <c r="M210" s="21">
        <f t="array" ref="M210">IF(H210="","",SUMif(year(N$2:BO$2),M$2,N210:BO210))</f>
        <v>0</v>
      </c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>
        <v>10.0</v>
      </c>
      <c r="Y210" s="22">
        <v>20.0</v>
      </c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</row>
    <row r="211">
      <c r="A211" s="16" t="s">
        <v>16</v>
      </c>
      <c r="B211" s="16" t="s">
        <v>103</v>
      </c>
      <c r="C211" s="17" t="s">
        <v>18</v>
      </c>
      <c r="D211" s="17" t="s">
        <v>29</v>
      </c>
      <c r="E211" s="17" t="s">
        <v>113</v>
      </c>
      <c r="F211" s="17" t="s">
        <v>114</v>
      </c>
      <c r="G211" s="17" t="s">
        <v>310</v>
      </c>
      <c r="H211" s="25" t="s">
        <v>310</v>
      </c>
      <c r="I211" s="19" t="s">
        <v>71</v>
      </c>
      <c r="J211" s="24" t="s">
        <v>262</v>
      </c>
      <c r="K211" s="21" t="b">
        <f t="shared" si="13"/>
        <v>1</v>
      </c>
      <c r="L211" s="21">
        <f t="shared" si="3"/>
        <v>0</v>
      </c>
      <c r="M211" s="21">
        <f t="array" ref="M211">IF(H211="","",SUMif(year(N$2:BO$2),M$2,N211:BO211))</f>
        <v>0</v>
      </c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>
        <v>10.0</v>
      </c>
      <c r="Y211" s="22">
        <v>20.0</v>
      </c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</row>
    <row r="212">
      <c r="A212" s="16" t="s">
        <v>16</v>
      </c>
      <c r="B212" s="16" t="s">
        <v>311</v>
      </c>
      <c r="C212" s="17" t="s">
        <v>18</v>
      </c>
      <c r="D212" s="17" t="s">
        <v>29</v>
      </c>
      <c r="E212" s="17" t="s">
        <v>113</v>
      </c>
      <c r="F212" s="17" t="s">
        <v>114</v>
      </c>
      <c r="G212" s="17" t="s">
        <v>310</v>
      </c>
      <c r="H212" s="25" t="s">
        <v>310</v>
      </c>
      <c r="I212" s="19" t="s">
        <v>71</v>
      </c>
      <c r="J212" s="24" t="s">
        <v>312</v>
      </c>
      <c r="K212" s="21" t="b">
        <f t="shared" si="13"/>
        <v>1</v>
      </c>
      <c r="L212" s="21">
        <f t="shared" si="3"/>
        <v>0</v>
      </c>
      <c r="M212" s="21">
        <f t="array" ref="M212">IF(H212="","",SUMif(year(N$2:BO$2),M$2,N212:BO212))</f>
        <v>0</v>
      </c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>
        <v>4.0</v>
      </c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</row>
    <row r="213">
      <c r="A213" s="16" t="s">
        <v>16</v>
      </c>
      <c r="B213" s="16" t="s">
        <v>35</v>
      </c>
      <c r="C213" s="17" t="s">
        <v>18</v>
      </c>
      <c r="D213" s="17" t="s">
        <v>29</v>
      </c>
      <c r="E213" s="17" t="s">
        <v>304</v>
      </c>
      <c r="F213" s="17" t="s">
        <v>305</v>
      </c>
      <c r="G213" s="17" t="s">
        <v>306</v>
      </c>
      <c r="H213" s="25" t="s">
        <v>306</v>
      </c>
      <c r="I213" s="19" t="s">
        <v>57</v>
      </c>
      <c r="J213" s="24" t="s">
        <v>271</v>
      </c>
      <c r="K213" s="21" t="b">
        <f t="shared" si="13"/>
        <v>1</v>
      </c>
      <c r="L213" s="21">
        <f t="shared" si="3"/>
        <v>0</v>
      </c>
      <c r="M213" s="21">
        <f t="array" ref="M213">IF(H213="","",SUMif(year(N$2:BO$2),M$2,N213:BO213))</f>
        <v>0</v>
      </c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>
        <v>10.0</v>
      </c>
      <c r="Y213" s="22">
        <v>22.0</v>
      </c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</row>
    <row r="214">
      <c r="A214" s="16" t="s">
        <v>16</v>
      </c>
      <c r="B214" s="16" t="s">
        <v>35</v>
      </c>
      <c r="C214" s="17" t="s">
        <v>18</v>
      </c>
      <c r="D214" s="17" t="s">
        <v>29</v>
      </c>
      <c r="E214" s="17" t="s">
        <v>304</v>
      </c>
      <c r="F214" s="17" t="s">
        <v>305</v>
      </c>
      <c r="G214" s="17" t="s">
        <v>306</v>
      </c>
      <c r="H214" s="25" t="s">
        <v>306</v>
      </c>
      <c r="I214" s="19" t="s">
        <v>57</v>
      </c>
      <c r="J214" s="24" t="s">
        <v>301</v>
      </c>
      <c r="K214" s="21" t="b">
        <f t="shared" si="13"/>
        <v>1</v>
      </c>
      <c r="L214" s="21">
        <f t="shared" si="3"/>
        <v>0</v>
      </c>
      <c r="M214" s="21">
        <f t="array" ref="M214">IF(H214="","",SUMif(year(N$2:BO$2),M$2,N214:BO214))</f>
        <v>0</v>
      </c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>
        <v>10.0</v>
      </c>
      <c r="Y214" s="22">
        <v>22.0</v>
      </c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</row>
    <row r="215">
      <c r="A215" s="16"/>
      <c r="B215" s="16"/>
      <c r="C215" s="17" t="s">
        <v>18</v>
      </c>
      <c r="D215" s="17" t="s">
        <v>29</v>
      </c>
      <c r="E215" s="17" t="s">
        <v>304</v>
      </c>
      <c r="F215" s="17" t="s">
        <v>305</v>
      </c>
      <c r="G215" s="17" t="s">
        <v>306</v>
      </c>
      <c r="H215" s="25" t="s">
        <v>306</v>
      </c>
      <c r="I215" s="19" t="s">
        <v>57</v>
      </c>
      <c r="J215" s="24" t="s">
        <v>313</v>
      </c>
      <c r="K215" s="21" t="b">
        <f t="shared" si="13"/>
        <v>1</v>
      </c>
      <c r="L215" s="21">
        <f t="shared" si="3"/>
        <v>0</v>
      </c>
      <c r="M215" s="21">
        <f t="array" ref="M215">IF(H215="","",SUMif(year(N$2:BO$2),M$2,N215:BO215))</f>
        <v>15</v>
      </c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>
        <v>10.0</v>
      </c>
      <c r="Y215" s="22">
        <v>22.0</v>
      </c>
      <c r="Z215" s="22">
        <v>15.0</v>
      </c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</row>
    <row r="216">
      <c r="A216" s="16" t="s">
        <v>27</v>
      </c>
      <c r="B216" s="16" t="s">
        <v>311</v>
      </c>
      <c r="C216" s="17" t="s">
        <v>18</v>
      </c>
      <c r="D216" s="17" t="s">
        <v>29</v>
      </c>
      <c r="E216" s="17" t="s">
        <v>304</v>
      </c>
      <c r="F216" s="17" t="s">
        <v>305</v>
      </c>
      <c r="G216" s="17" t="s">
        <v>306</v>
      </c>
      <c r="H216" s="25" t="s">
        <v>306</v>
      </c>
      <c r="I216" s="19" t="s">
        <v>57</v>
      </c>
      <c r="J216" s="24" t="s">
        <v>314</v>
      </c>
      <c r="K216" s="21" t="b">
        <f t="shared" si="13"/>
        <v>1</v>
      </c>
      <c r="L216" s="21">
        <f t="shared" si="3"/>
        <v>0</v>
      </c>
      <c r="M216" s="21">
        <f t="array" ref="M216">IF(H216="","",SUMif(year(N$2:BO$2),M$2,N216:BO216))</f>
        <v>17</v>
      </c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>
        <v>10.0</v>
      </c>
      <c r="Y216" s="22">
        <v>22.0</v>
      </c>
      <c r="Z216" s="22">
        <v>15.0</v>
      </c>
      <c r="AA216" s="22">
        <v>2.0</v>
      </c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</row>
    <row r="217">
      <c r="A217" s="16" t="s">
        <v>27</v>
      </c>
      <c r="B217" s="16" t="s">
        <v>123</v>
      </c>
      <c r="C217" s="17" t="s">
        <v>18</v>
      </c>
      <c r="D217" s="17" t="s">
        <v>29</v>
      </c>
      <c r="E217" s="17" t="s">
        <v>295</v>
      </c>
      <c r="F217" s="17" t="s">
        <v>296</v>
      </c>
      <c r="G217" s="17" t="s">
        <v>297</v>
      </c>
      <c r="H217" s="18" t="s">
        <v>297</v>
      </c>
      <c r="I217" s="19" t="s">
        <v>65</v>
      </c>
      <c r="J217" s="20" t="s">
        <v>315</v>
      </c>
      <c r="K217" s="45" t="b">
        <f t="shared" si="13"/>
        <v>1</v>
      </c>
      <c r="L217" s="21">
        <f t="shared" si="3"/>
        <v>0</v>
      </c>
      <c r="M217" s="21">
        <f t="array" ref="M217">IF(H217="","",SUMif(year(N$2:BO$2),M$2,N217:BO217))</f>
        <v>247</v>
      </c>
      <c r="N217" s="26">
        <v>17.0</v>
      </c>
      <c r="O217" s="26">
        <v>15.0</v>
      </c>
      <c r="P217" s="26">
        <v>23.0</v>
      </c>
      <c r="Q217" s="26">
        <v>19.0</v>
      </c>
      <c r="R217" s="26">
        <v>15.0</v>
      </c>
      <c r="S217" s="26">
        <v>19.0</v>
      </c>
      <c r="T217" s="26">
        <v>20.0</v>
      </c>
      <c r="U217" s="26">
        <v>16.0</v>
      </c>
      <c r="V217" s="26">
        <v>12.0</v>
      </c>
      <c r="W217" s="26">
        <v>18.0</v>
      </c>
      <c r="X217" s="26">
        <v>16.0</v>
      </c>
      <c r="Y217" s="26">
        <v>22.0</v>
      </c>
      <c r="Z217" s="26">
        <v>15.0</v>
      </c>
      <c r="AA217" s="26">
        <v>19.0</v>
      </c>
      <c r="AB217" s="26">
        <v>21.0</v>
      </c>
      <c r="AC217" s="26">
        <v>22.0</v>
      </c>
      <c r="AD217" s="26">
        <v>19.0</v>
      </c>
      <c r="AE217" s="26">
        <v>21.0</v>
      </c>
      <c r="AF217" s="26">
        <v>23.0</v>
      </c>
      <c r="AG217" s="26">
        <v>21.0</v>
      </c>
      <c r="AH217" s="26">
        <v>22.0</v>
      </c>
      <c r="AI217" s="26">
        <v>22.0</v>
      </c>
      <c r="AJ217" s="26">
        <v>20.0</v>
      </c>
      <c r="AK217" s="26">
        <v>22.0</v>
      </c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</row>
    <row r="218">
      <c r="A218" s="16" t="s">
        <v>16</v>
      </c>
      <c r="B218" s="16" t="s">
        <v>35</v>
      </c>
      <c r="C218" s="17" t="s">
        <v>18</v>
      </c>
      <c r="D218" s="17" t="s">
        <v>19</v>
      </c>
      <c r="E218" s="17" t="s">
        <v>109</v>
      </c>
      <c r="F218" s="17" t="s">
        <v>110</v>
      </c>
      <c r="G218" s="17" t="s">
        <v>111</v>
      </c>
      <c r="H218" s="25" t="s">
        <v>111</v>
      </c>
      <c r="I218" s="19" t="s">
        <v>57</v>
      </c>
      <c r="J218" s="24" t="s">
        <v>301</v>
      </c>
      <c r="K218" s="21" t="b">
        <f t="shared" si="13"/>
        <v>1</v>
      </c>
      <c r="L218" s="21">
        <f t="shared" si="3"/>
        <v>0</v>
      </c>
      <c r="M218" s="21">
        <f t="array" ref="M218">IF(H218="","",SUMif(year(N$2:BO$2),M$2,N218:BO218))</f>
        <v>0</v>
      </c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>
        <v>12.0</v>
      </c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</row>
    <row r="219">
      <c r="A219" s="16" t="s">
        <v>27</v>
      </c>
      <c r="B219" s="16" t="s">
        <v>173</v>
      </c>
      <c r="C219" s="17" t="s">
        <v>18</v>
      </c>
      <c r="D219" s="17" t="s">
        <v>19</v>
      </c>
      <c r="E219" s="17" t="s">
        <v>109</v>
      </c>
      <c r="F219" s="17" t="s">
        <v>110</v>
      </c>
      <c r="G219" s="17" t="s">
        <v>111</v>
      </c>
      <c r="H219" s="25" t="s">
        <v>111</v>
      </c>
      <c r="I219" s="19" t="s">
        <v>57</v>
      </c>
      <c r="J219" s="24" t="s">
        <v>174</v>
      </c>
      <c r="K219" s="21" t="b">
        <f t="shared" si="13"/>
        <v>1</v>
      </c>
      <c r="L219" s="21">
        <f t="shared" si="3"/>
        <v>0</v>
      </c>
      <c r="M219" s="21">
        <f t="array" ref="M219">IF(H219="","",SUMif(year(N$2:BO$2),M$2,N219:BO219))</f>
        <v>34</v>
      </c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>
        <v>15.0</v>
      </c>
      <c r="AA219" s="22">
        <v>19.0</v>
      </c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</row>
    <row r="220">
      <c r="A220" s="16" t="s">
        <v>27</v>
      </c>
      <c r="B220" s="16" t="s">
        <v>28</v>
      </c>
      <c r="C220" s="17" t="s">
        <v>18</v>
      </c>
      <c r="D220" s="17" t="s">
        <v>19</v>
      </c>
      <c r="E220" s="17" t="s">
        <v>54</v>
      </c>
      <c r="F220" s="17" t="s">
        <v>55</v>
      </c>
      <c r="G220" s="17" t="s">
        <v>56</v>
      </c>
      <c r="H220" s="25" t="s">
        <v>56</v>
      </c>
      <c r="I220" s="19" t="s">
        <v>57</v>
      </c>
      <c r="J220" s="24" t="s">
        <v>169</v>
      </c>
      <c r="K220" s="21" t="b">
        <f t="shared" si="13"/>
        <v>1</v>
      </c>
      <c r="L220" s="21">
        <f t="shared" si="3"/>
        <v>0</v>
      </c>
      <c r="M220" s="21">
        <f t="array" ref="M220">IF(H220="","",SUMif(year(N$2:BO$2),M$2,N220:BO220))</f>
        <v>25</v>
      </c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>
        <v>15.0</v>
      </c>
      <c r="AA220" s="22">
        <v>10.0</v>
      </c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</row>
    <row r="221">
      <c r="A221" s="16" t="s">
        <v>27</v>
      </c>
      <c r="B221" s="16" t="s">
        <v>28</v>
      </c>
      <c r="C221" s="17" t="s">
        <v>18</v>
      </c>
      <c r="D221" s="17" t="s">
        <v>19</v>
      </c>
      <c r="E221" s="17" t="s">
        <v>36</v>
      </c>
      <c r="F221" s="17" t="s">
        <v>37</v>
      </c>
      <c r="G221" s="17" t="s">
        <v>94</v>
      </c>
      <c r="H221" s="25" t="s">
        <v>94</v>
      </c>
      <c r="I221" s="19" t="s">
        <v>71</v>
      </c>
      <c r="J221" s="24" t="s">
        <v>169</v>
      </c>
      <c r="K221" s="21" t="b">
        <f t="shared" si="13"/>
        <v>1</v>
      </c>
      <c r="L221" s="21">
        <f t="shared" si="3"/>
        <v>0</v>
      </c>
      <c r="M221" s="21">
        <f t="array" ref="M221">IF(H221="","",SUMif(year(N$2:BO$2),M$2,N221:BO221))</f>
        <v>30</v>
      </c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>
        <v>9.0</v>
      </c>
      <c r="AB221" s="22">
        <v>21.0</v>
      </c>
      <c r="AC221" s="22"/>
      <c r="AD221" s="22"/>
      <c r="AE221" s="22"/>
      <c r="AF221" s="22"/>
      <c r="AG221" s="22"/>
      <c r="AH221" s="22"/>
      <c r="AI221" s="22"/>
      <c r="AJ221" s="22"/>
      <c r="AK221" s="22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</row>
    <row r="222">
      <c r="A222" s="16" t="s">
        <v>27</v>
      </c>
      <c r="B222" s="16" t="s">
        <v>180</v>
      </c>
      <c r="C222" s="17" t="s">
        <v>18</v>
      </c>
      <c r="D222" s="17" t="s">
        <v>19</v>
      </c>
      <c r="E222" s="17" t="s">
        <v>36</v>
      </c>
      <c r="F222" s="17" t="s">
        <v>37</v>
      </c>
      <c r="G222" s="17" t="s">
        <v>38</v>
      </c>
      <c r="H222" s="25" t="s">
        <v>38</v>
      </c>
      <c r="I222" s="19" t="s">
        <v>39</v>
      </c>
      <c r="J222" s="24" t="s">
        <v>182</v>
      </c>
      <c r="K222" s="21" t="b">
        <f t="shared" si="13"/>
        <v>1</v>
      </c>
      <c r="L222" s="21">
        <f t="shared" si="3"/>
        <v>0</v>
      </c>
      <c r="M222" s="21">
        <f t="array" ref="M222">IF(H222="","",SUMif(year(N$2:BO$2),M$2,N222:BO222))</f>
        <v>63</v>
      </c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>
        <v>15.0</v>
      </c>
      <c r="AB222" s="22">
        <v>16.0</v>
      </c>
      <c r="AC222" s="22">
        <v>17.0</v>
      </c>
      <c r="AD222" s="22">
        <v>15.0</v>
      </c>
      <c r="AE222" s="22"/>
      <c r="AF222" s="22"/>
      <c r="AG222" s="22"/>
      <c r="AH222" s="22"/>
      <c r="AI222" s="22"/>
      <c r="AJ222" s="22"/>
      <c r="AK222" s="22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</row>
    <row r="223">
      <c r="A223" s="16" t="s">
        <v>27</v>
      </c>
      <c r="B223" s="16" t="s">
        <v>180</v>
      </c>
      <c r="C223" s="17" t="s">
        <v>18</v>
      </c>
      <c r="D223" s="17" t="s">
        <v>19</v>
      </c>
      <c r="E223" s="17" t="s">
        <v>54</v>
      </c>
      <c r="F223" s="17" t="s">
        <v>55</v>
      </c>
      <c r="G223" s="17" t="s">
        <v>56</v>
      </c>
      <c r="H223" s="25" t="s">
        <v>56</v>
      </c>
      <c r="I223" s="19" t="s">
        <v>57</v>
      </c>
      <c r="J223" s="24" t="s">
        <v>182</v>
      </c>
      <c r="K223" s="21" t="b">
        <f t="shared" si="13"/>
        <v>1</v>
      </c>
      <c r="L223" s="21">
        <f t="shared" si="3"/>
        <v>0</v>
      </c>
      <c r="M223" s="21">
        <f t="array" ref="M223">IF(H223="","",SUMif(year(N$2:BO$2),M$2,N223:BO223))</f>
        <v>5</v>
      </c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>
        <v>5.0</v>
      </c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</row>
    <row r="224">
      <c r="A224" s="16" t="s">
        <v>27</v>
      </c>
      <c r="B224" s="16" t="s">
        <v>141</v>
      </c>
      <c r="C224" s="17" t="s">
        <v>133</v>
      </c>
      <c r="D224" s="17" t="s">
        <v>29</v>
      </c>
      <c r="E224" s="17" t="s">
        <v>68</v>
      </c>
      <c r="F224" s="17" t="s">
        <v>69</v>
      </c>
      <c r="G224" s="17" t="s">
        <v>70</v>
      </c>
      <c r="H224" s="25" t="s">
        <v>70</v>
      </c>
      <c r="I224" s="19" t="s">
        <v>71</v>
      </c>
      <c r="J224" s="24" t="s">
        <v>316</v>
      </c>
      <c r="K224" s="21" t="b">
        <f t="shared" si="13"/>
        <v>1</v>
      </c>
      <c r="L224" s="21">
        <f t="shared" si="3"/>
        <v>0</v>
      </c>
      <c r="M224" s="21">
        <f t="array" ref="M224">IF(H224="","",SUMif(year(N$2:BO$2),M$2,N224:BO224))</f>
        <v>244</v>
      </c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>
        <v>12.0</v>
      </c>
      <c r="AA224" s="22">
        <v>19.0</v>
      </c>
      <c r="AB224" s="26">
        <v>21.0</v>
      </c>
      <c r="AC224" s="26">
        <v>22.0</v>
      </c>
      <c r="AD224" s="26">
        <v>19.0</v>
      </c>
      <c r="AE224" s="26">
        <v>21.0</v>
      </c>
      <c r="AF224" s="26">
        <v>23.0</v>
      </c>
      <c r="AG224" s="26">
        <v>21.0</v>
      </c>
      <c r="AH224" s="26">
        <v>22.0</v>
      </c>
      <c r="AI224" s="26">
        <v>22.0</v>
      </c>
      <c r="AJ224" s="26">
        <v>20.0</v>
      </c>
      <c r="AK224" s="26">
        <v>22.0</v>
      </c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</row>
    <row r="225">
      <c r="A225" s="16" t="s">
        <v>16</v>
      </c>
      <c r="B225" s="16" t="s">
        <v>184</v>
      </c>
      <c r="C225" s="17" t="s">
        <v>18</v>
      </c>
      <c r="D225" s="17" t="s">
        <v>29</v>
      </c>
      <c r="E225" s="17" t="s">
        <v>109</v>
      </c>
      <c r="F225" s="17" t="s">
        <v>273</v>
      </c>
      <c r="G225" s="17" t="s">
        <v>281</v>
      </c>
      <c r="H225" s="25" t="s">
        <v>281</v>
      </c>
      <c r="I225" s="19" t="s">
        <v>57</v>
      </c>
      <c r="J225" s="24" t="s">
        <v>185</v>
      </c>
      <c r="K225" s="21" t="b">
        <f t="shared" si="13"/>
        <v>1</v>
      </c>
      <c r="L225" s="21">
        <f t="shared" si="3"/>
        <v>0</v>
      </c>
      <c r="M225" s="21">
        <f t="array" ref="M225">IF(H225="","",SUMif(year(N$2:BO$2),M$2,N225:BO225))</f>
        <v>26</v>
      </c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>
        <v>7.0</v>
      </c>
      <c r="AA225" s="22">
        <v>19.0</v>
      </c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</row>
    <row r="226">
      <c r="A226" s="16" t="str">
        <f t="shared" ref="A226:A1905" si="14">if(iserror(match(J226,'Команда'!G:G,0)),"",index('Команда'!A:A,match(J226,'Команда'!G:G,0)))</f>
        <v/>
      </c>
      <c r="B226" s="16" t="str">
        <f t="shared" ref="B226:B1905" si="15">if(iserror(match(J226,'Команда'!G:G,0)),"",index('Команда'!B:B,match(J226,'Команда'!G:G,0)))&amp;if(iserror(find("ACRM",G226)),""," ACRM")</f>
        <v/>
      </c>
      <c r="C226" s="35" t="str">
        <f t="shared" ref="C226:C1905" si="16">iferror(index('Списки'!L:L,match(J226,'Списки'!N:N,0)),if(left(J226,3)="Нет","ПП",""))</f>
        <v/>
      </c>
      <c r="D226" s="35" t="str">
        <f t="shared" ref="D226:D1905" si="17">iferror(index('Списки'!B:B,match(G226,'Списки'!E:E,0)),"")</f>
        <v/>
      </c>
      <c r="E226" s="35" t="str">
        <f t="shared" ref="E226:E1905" si="18">if(H226="","",index('Задачи'!D:D,match(H226,'Задачи'!G:G,0)))</f>
        <v/>
      </c>
      <c r="F226" s="35" t="str">
        <f t="shared" ref="F226:F1905" si="19">if(H226="","",index('Задачи'!C:C,match(H226,'Задачи'!G:G,0)))</f>
        <v/>
      </c>
      <c r="G226" s="35" t="str">
        <f t="shared" ref="G226:G1905" si="20">if(H226="","",if(index('Задачи'!E:E,match(H226,'Задачи'!G:G,0))="","НЕ ОПРЕДЕЛЕНО",index('Задачи'!E:E,match(H226,'Задачи'!G:G,0))))</f>
        <v/>
      </c>
      <c r="H226" s="25"/>
      <c r="I226" s="47" t="str">
        <f t="shared" ref="I226:I1905" si="21">if(or(H226="",A226="BI"),iferror(index('Команда'!E:E,match(J226,'Команда'!G:G,0)),""),if(A226="D",index('Задачи'!I:I,match(H226,'Задачи'!G:G,0)),index('Задачи'!I:I,match(H226,'Задачи'!G:G,0))))</f>
        <v/>
      </c>
      <c r="J226" s="48"/>
      <c r="K226" s="21" t="str">
        <f t="shared" si="13"/>
        <v/>
      </c>
      <c r="L226" s="21" t="str">
        <f t="shared" si="3"/>
        <v/>
      </c>
      <c r="M226" s="21" t="str">
        <f t="array" ref="M226">IF(H226="","",SUMif(year(N$2:BO$2),M$2,N226:BO226))</f>
        <v/>
      </c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</row>
    <row r="227">
      <c r="A227" s="16" t="str">
        <f t="shared" si="14"/>
        <v/>
      </c>
      <c r="B227" s="16" t="str">
        <f t="shared" si="15"/>
        <v/>
      </c>
      <c r="C227" s="35" t="str">
        <f t="shared" si="16"/>
        <v/>
      </c>
      <c r="D227" s="35" t="str">
        <f t="shared" si="17"/>
        <v/>
      </c>
      <c r="E227" s="35" t="str">
        <f t="shared" si="18"/>
        <v/>
      </c>
      <c r="F227" s="35" t="str">
        <f t="shared" si="19"/>
        <v/>
      </c>
      <c r="G227" s="35" t="str">
        <f t="shared" si="20"/>
        <v/>
      </c>
      <c r="H227" s="25"/>
      <c r="I227" s="47" t="str">
        <f t="shared" si="21"/>
        <v/>
      </c>
      <c r="J227" s="48"/>
      <c r="K227" s="21" t="str">
        <f t="shared" si="13"/>
        <v/>
      </c>
      <c r="L227" s="21" t="str">
        <f t="shared" si="3"/>
        <v/>
      </c>
      <c r="M227" s="21" t="str">
        <f t="array" ref="M227">IF(H227="","",SUMif(year(N$2:BO$2),M$2,N227:BO227))</f>
        <v/>
      </c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</row>
    <row r="228">
      <c r="A228" s="16" t="str">
        <f t="shared" si="14"/>
        <v/>
      </c>
      <c r="B228" s="16" t="str">
        <f t="shared" si="15"/>
        <v/>
      </c>
      <c r="C228" s="35" t="str">
        <f t="shared" si="16"/>
        <v/>
      </c>
      <c r="D228" s="35" t="str">
        <f t="shared" si="17"/>
        <v/>
      </c>
      <c r="E228" s="35" t="str">
        <f t="shared" si="18"/>
        <v/>
      </c>
      <c r="F228" s="35" t="str">
        <f t="shared" si="19"/>
        <v/>
      </c>
      <c r="G228" s="35" t="str">
        <f t="shared" si="20"/>
        <v/>
      </c>
      <c r="H228" s="25"/>
      <c r="I228" s="47" t="str">
        <f t="shared" si="21"/>
        <v/>
      </c>
      <c r="J228" s="48"/>
      <c r="K228" s="21" t="str">
        <f t="shared" si="13"/>
        <v/>
      </c>
      <c r="L228" s="21" t="str">
        <f t="shared" si="3"/>
        <v/>
      </c>
      <c r="M228" s="21" t="str">
        <f t="array" ref="M228">IF(H228="","",SUMif(year(N$2:BO$2),M$2,N228:BO228))</f>
        <v/>
      </c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</row>
    <row r="229">
      <c r="A229" s="16" t="str">
        <f t="shared" si="14"/>
        <v/>
      </c>
      <c r="B229" s="16" t="str">
        <f t="shared" si="15"/>
        <v/>
      </c>
      <c r="C229" s="35" t="str">
        <f t="shared" si="16"/>
        <v/>
      </c>
      <c r="D229" s="35" t="str">
        <f t="shared" si="17"/>
        <v/>
      </c>
      <c r="E229" s="35" t="str">
        <f t="shared" si="18"/>
        <v/>
      </c>
      <c r="F229" s="35" t="str">
        <f t="shared" si="19"/>
        <v/>
      </c>
      <c r="G229" s="35" t="str">
        <f t="shared" si="20"/>
        <v/>
      </c>
      <c r="H229" s="25"/>
      <c r="I229" s="47" t="str">
        <f t="shared" si="21"/>
        <v/>
      </c>
      <c r="J229" s="48"/>
      <c r="K229" s="21" t="str">
        <f t="shared" si="13"/>
        <v/>
      </c>
      <c r="L229" s="21" t="str">
        <f t="shared" si="3"/>
        <v/>
      </c>
      <c r="M229" s="21" t="str">
        <f t="array" ref="M229">IF(H229="","",SUMif(year(N$2:BO$2),M$2,N229:BO229))</f>
        <v/>
      </c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</row>
    <row r="230">
      <c r="A230" s="16" t="str">
        <f t="shared" si="14"/>
        <v/>
      </c>
      <c r="B230" s="16" t="str">
        <f t="shared" si="15"/>
        <v/>
      </c>
      <c r="C230" s="35" t="str">
        <f t="shared" si="16"/>
        <v/>
      </c>
      <c r="D230" s="35" t="str">
        <f t="shared" si="17"/>
        <v/>
      </c>
      <c r="E230" s="35" t="str">
        <f t="shared" si="18"/>
        <v/>
      </c>
      <c r="F230" s="35" t="str">
        <f t="shared" si="19"/>
        <v/>
      </c>
      <c r="G230" s="35" t="str">
        <f t="shared" si="20"/>
        <v/>
      </c>
      <c r="H230" s="25"/>
      <c r="I230" s="47" t="str">
        <f t="shared" si="21"/>
        <v/>
      </c>
      <c r="J230" s="48"/>
      <c r="K230" s="21" t="str">
        <f t="shared" si="13"/>
        <v/>
      </c>
      <c r="L230" s="21" t="str">
        <f t="shared" si="3"/>
        <v/>
      </c>
      <c r="M230" s="21" t="str">
        <f t="array" ref="M230">IF(H230="","",SUMif(year(N$2:BO$2),M$2,N230:BO230))</f>
        <v/>
      </c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</row>
    <row r="231">
      <c r="A231" s="16" t="str">
        <f t="shared" si="14"/>
        <v/>
      </c>
      <c r="B231" s="16" t="str">
        <f t="shared" si="15"/>
        <v/>
      </c>
      <c r="C231" s="35" t="str">
        <f t="shared" si="16"/>
        <v/>
      </c>
      <c r="D231" s="35" t="str">
        <f t="shared" si="17"/>
        <v/>
      </c>
      <c r="E231" s="35" t="str">
        <f t="shared" si="18"/>
        <v/>
      </c>
      <c r="F231" s="35" t="str">
        <f t="shared" si="19"/>
        <v/>
      </c>
      <c r="G231" s="35" t="str">
        <f t="shared" si="20"/>
        <v/>
      </c>
      <c r="H231" s="25"/>
      <c r="I231" s="47" t="str">
        <f t="shared" si="21"/>
        <v/>
      </c>
      <c r="J231" s="48"/>
      <c r="K231" s="21" t="str">
        <f t="shared" si="13"/>
        <v/>
      </c>
      <c r="L231" s="21" t="str">
        <f t="shared" si="3"/>
        <v/>
      </c>
      <c r="M231" s="21" t="str">
        <f t="array" ref="M231">IF(H231="","",SUMif(year(N$2:BO$2),M$2,N231:BO231))</f>
        <v/>
      </c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</row>
    <row r="232">
      <c r="A232" s="16" t="str">
        <f t="shared" si="14"/>
        <v/>
      </c>
      <c r="B232" s="16" t="str">
        <f t="shared" si="15"/>
        <v/>
      </c>
      <c r="C232" s="35" t="str">
        <f t="shared" si="16"/>
        <v/>
      </c>
      <c r="D232" s="35" t="str">
        <f t="shared" si="17"/>
        <v/>
      </c>
      <c r="E232" s="35" t="str">
        <f t="shared" si="18"/>
        <v/>
      </c>
      <c r="F232" s="35" t="str">
        <f t="shared" si="19"/>
        <v/>
      </c>
      <c r="G232" s="35" t="str">
        <f t="shared" si="20"/>
        <v/>
      </c>
      <c r="H232" s="25"/>
      <c r="I232" s="47" t="str">
        <f t="shared" si="21"/>
        <v/>
      </c>
      <c r="J232" s="48"/>
      <c r="K232" s="21" t="str">
        <f t="shared" si="13"/>
        <v/>
      </c>
      <c r="L232" s="21" t="str">
        <f t="shared" si="3"/>
        <v/>
      </c>
      <c r="M232" s="21" t="str">
        <f t="array" ref="M232">IF(H232="","",SUMif(year(N$2:BO$2),M$2,N232:BO232))</f>
        <v/>
      </c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</row>
    <row r="233">
      <c r="A233" s="16" t="str">
        <f t="shared" si="14"/>
        <v/>
      </c>
      <c r="B233" s="16" t="str">
        <f t="shared" si="15"/>
        <v/>
      </c>
      <c r="C233" s="35" t="str">
        <f t="shared" si="16"/>
        <v/>
      </c>
      <c r="D233" s="35" t="str">
        <f t="shared" si="17"/>
        <v/>
      </c>
      <c r="E233" s="35" t="str">
        <f t="shared" si="18"/>
        <v/>
      </c>
      <c r="F233" s="35" t="str">
        <f t="shared" si="19"/>
        <v/>
      </c>
      <c r="G233" s="35" t="str">
        <f t="shared" si="20"/>
        <v/>
      </c>
      <c r="H233" s="25"/>
      <c r="I233" s="47" t="str">
        <f t="shared" si="21"/>
        <v/>
      </c>
      <c r="J233" s="48"/>
      <c r="K233" s="21" t="str">
        <f t="shared" si="13"/>
        <v/>
      </c>
      <c r="L233" s="21" t="str">
        <f t="shared" si="3"/>
        <v/>
      </c>
      <c r="M233" s="21" t="str">
        <f t="array" ref="M233">IF(H233="","",SUMif(year(N$2:BO$2),M$2,N233:BO233))</f>
        <v/>
      </c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</row>
    <row r="234">
      <c r="A234" s="16" t="str">
        <f t="shared" si="14"/>
        <v/>
      </c>
      <c r="B234" s="16" t="str">
        <f t="shared" si="15"/>
        <v/>
      </c>
      <c r="C234" s="35" t="str">
        <f t="shared" si="16"/>
        <v/>
      </c>
      <c r="D234" s="35" t="str">
        <f t="shared" si="17"/>
        <v/>
      </c>
      <c r="E234" s="35" t="str">
        <f t="shared" si="18"/>
        <v/>
      </c>
      <c r="F234" s="35" t="str">
        <f t="shared" si="19"/>
        <v/>
      </c>
      <c r="G234" s="35" t="str">
        <f t="shared" si="20"/>
        <v/>
      </c>
      <c r="H234" s="25"/>
      <c r="I234" s="47" t="str">
        <f t="shared" si="21"/>
        <v/>
      </c>
      <c r="J234" s="48"/>
      <c r="K234" s="21" t="str">
        <f t="shared" si="13"/>
        <v/>
      </c>
      <c r="L234" s="21" t="str">
        <f t="shared" si="3"/>
        <v/>
      </c>
      <c r="M234" s="21" t="str">
        <f t="array" ref="M234">IF(H234="","",SUMif(year(N$2:BO$2),M$2,N234:BO234))</f>
        <v/>
      </c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</row>
    <row r="235">
      <c r="A235" s="16" t="str">
        <f t="shared" si="14"/>
        <v/>
      </c>
      <c r="B235" s="16" t="str">
        <f t="shared" si="15"/>
        <v/>
      </c>
      <c r="C235" s="35" t="str">
        <f t="shared" si="16"/>
        <v/>
      </c>
      <c r="D235" s="35" t="str">
        <f t="shared" si="17"/>
        <v/>
      </c>
      <c r="E235" s="35" t="str">
        <f t="shared" si="18"/>
        <v/>
      </c>
      <c r="F235" s="35" t="str">
        <f t="shared" si="19"/>
        <v/>
      </c>
      <c r="G235" s="35" t="str">
        <f t="shared" si="20"/>
        <v/>
      </c>
      <c r="H235" s="25"/>
      <c r="I235" s="47" t="str">
        <f t="shared" si="21"/>
        <v/>
      </c>
      <c r="J235" s="48"/>
      <c r="K235" s="21" t="str">
        <f t="shared" si="13"/>
        <v/>
      </c>
      <c r="L235" s="21" t="str">
        <f t="shared" si="3"/>
        <v/>
      </c>
      <c r="M235" s="21" t="str">
        <f t="array" ref="M235">IF(H235="","",SUMif(year(N$2:BO$2),M$2,N235:BO235))</f>
        <v/>
      </c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</row>
    <row r="236">
      <c r="A236" s="16" t="str">
        <f t="shared" si="14"/>
        <v/>
      </c>
      <c r="B236" s="16" t="str">
        <f t="shared" si="15"/>
        <v/>
      </c>
      <c r="C236" s="35" t="str">
        <f t="shared" si="16"/>
        <v/>
      </c>
      <c r="D236" s="35" t="str">
        <f t="shared" si="17"/>
        <v/>
      </c>
      <c r="E236" s="35" t="str">
        <f t="shared" si="18"/>
        <v/>
      </c>
      <c r="F236" s="35" t="str">
        <f t="shared" si="19"/>
        <v/>
      </c>
      <c r="G236" s="35" t="str">
        <f t="shared" si="20"/>
        <v/>
      </c>
      <c r="H236" s="25"/>
      <c r="I236" s="47" t="str">
        <f t="shared" si="21"/>
        <v/>
      </c>
      <c r="J236" s="48"/>
      <c r="K236" s="21" t="str">
        <f t="shared" si="13"/>
        <v/>
      </c>
      <c r="L236" s="21" t="str">
        <f t="shared" si="3"/>
        <v/>
      </c>
      <c r="M236" s="21" t="str">
        <f t="array" ref="M236">IF(H236="","",SUMif(year(N$2:BO$2),M$2,N236:BO236))</f>
        <v/>
      </c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</row>
    <row r="237">
      <c r="A237" s="16" t="str">
        <f t="shared" si="14"/>
        <v/>
      </c>
      <c r="B237" s="16" t="str">
        <f t="shared" si="15"/>
        <v/>
      </c>
      <c r="C237" s="35" t="str">
        <f t="shared" si="16"/>
        <v/>
      </c>
      <c r="D237" s="35" t="str">
        <f t="shared" si="17"/>
        <v/>
      </c>
      <c r="E237" s="35" t="str">
        <f t="shared" si="18"/>
        <v/>
      </c>
      <c r="F237" s="35" t="str">
        <f t="shared" si="19"/>
        <v/>
      </c>
      <c r="G237" s="35" t="str">
        <f t="shared" si="20"/>
        <v/>
      </c>
      <c r="H237" s="25"/>
      <c r="I237" s="47" t="str">
        <f t="shared" si="21"/>
        <v/>
      </c>
      <c r="J237" s="48"/>
      <c r="K237" s="21" t="str">
        <f t="shared" si="13"/>
        <v/>
      </c>
      <c r="L237" s="21" t="str">
        <f t="shared" si="3"/>
        <v/>
      </c>
      <c r="M237" s="21" t="str">
        <f t="array" ref="M237">IF(H237="","",SUMif(year(N$2:BO$2),M$2,N237:BO237))</f>
        <v/>
      </c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</row>
    <row r="238">
      <c r="A238" s="16" t="str">
        <f t="shared" si="14"/>
        <v/>
      </c>
      <c r="B238" s="16" t="str">
        <f t="shared" si="15"/>
        <v/>
      </c>
      <c r="C238" s="35" t="str">
        <f t="shared" si="16"/>
        <v/>
      </c>
      <c r="D238" s="35" t="str">
        <f t="shared" si="17"/>
        <v/>
      </c>
      <c r="E238" s="35" t="str">
        <f t="shared" si="18"/>
        <v/>
      </c>
      <c r="F238" s="35" t="str">
        <f t="shared" si="19"/>
        <v/>
      </c>
      <c r="G238" s="35" t="str">
        <f t="shared" si="20"/>
        <v/>
      </c>
      <c r="H238" s="25"/>
      <c r="I238" s="47" t="str">
        <f t="shared" si="21"/>
        <v/>
      </c>
      <c r="J238" s="48"/>
      <c r="K238" s="21" t="str">
        <f t="shared" si="13"/>
        <v/>
      </c>
      <c r="L238" s="21" t="str">
        <f t="shared" si="3"/>
        <v/>
      </c>
      <c r="M238" s="21" t="str">
        <f t="array" ref="M238">IF(H238="","",SUMif(year(N$2:BO$2),M$2,N238:BO238))</f>
        <v/>
      </c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</row>
    <row r="239">
      <c r="A239" s="16" t="str">
        <f t="shared" si="14"/>
        <v/>
      </c>
      <c r="B239" s="16" t="str">
        <f t="shared" si="15"/>
        <v/>
      </c>
      <c r="C239" s="35" t="str">
        <f t="shared" si="16"/>
        <v/>
      </c>
      <c r="D239" s="35" t="str">
        <f t="shared" si="17"/>
        <v/>
      </c>
      <c r="E239" s="35" t="str">
        <f t="shared" si="18"/>
        <v/>
      </c>
      <c r="F239" s="35" t="str">
        <f t="shared" si="19"/>
        <v/>
      </c>
      <c r="G239" s="35" t="str">
        <f t="shared" si="20"/>
        <v/>
      </c>
      <c r="H239" s="25"/>
      <c r="I239" s="47" t="str">
        <f t="shared" si="21"/>
        <v/>
      </c>
      <c r="J239" s="48"/>
      <c r="K239" s="21" t="str">
        <f t="shared" si="13"/>
        <v/>
      </c>
      <c r="L239" s="21" t="str">
        <f t="shared" si="3"/>
        <v/>
      </c>
      <c r="M239" s="21" t="str">
        <f t="array" ref="M239">IF(H239="","",SUMif(year(N$2:BO$2),M$2,N239:BO239))</f>
        <v/>
      </c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</row>
    <row r="240">
      <c r="A240" s="16" t="str">
        <f t="shared" si="14"/>
        <v/>
      </c>
      <c r="B240" s="16" t="str">
        <f t="shared" si="15"/>
        <v/>
      </c>
      <c r="C240" s="35" t="str">
        <f t="shared" si="16"/>
        <v/>
      </c>
      <c r="D240" s="35" t="str">
        <f t="shared" si="17"/>
        <v/>
      </c>
      <c r="E240" s="35" t="str">
        <f t="shared" si="18"/>
        <v/>
      </c>
      <c r="F240" s="35" t="str">
        <f t="shared" si="19"/>
        <v/>
      </c>
      <c r="G240" s="35" t="str">
        <f t="shared" si="20"/>
        <v/>
      </c>
      <c r="H240" s="25"/>
      <c r="I240" s="47" t="str">
        <f t="shared" si="21"/>
        <v/>
      </c>
      <c r="J240" s="48"/>
      <c r="K240" s="21" t="str">
        <f t="shared" si="13"/>
        <v/>
      </c>
      <c r="L240" s="21" t="str">
        <f t="shared" si="3"/>
        <v/>
      </c>
      <c r="M240" s="21" t="str">
        <f t="array" ref="M240">IF(H240="","",SUMif(year(N$2:BO$2),M$2,N240:BO240))</f>
        <v/>
      </c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</row>
    <row r="241">
      <c r="A241" s="16" t="str">
        <f t="shared" si="14"/>
        <v/>
      </c>
      <c r="B241" s="16" t="str">
        <f t="shared" si="15"/>
        <v/>
      </c>
      <c r="C241" s="35" t="str">
        <f t="shared" si="16"/>
        <v/>
      </c>
      <c r="D241" s="35" t="str">
        <f t="shared" si="17"/>
        <v/>
      </c>
      <c r="E241" s="35" t="str">
        <f t="shared" si="18"/>
        <v/>
      </c>
      <c r="F241" s="35" t="str">
        <f t="shared" si="19"/>
        <v/>
      </c>
      <c r="G241" s="35" t="str">
        <f t="shared" si="20"/>
        <v/>
      </c>
      <c r="H241" s="25"/>
      <c r="I241" s="47" t="str">
        <f t="shared" si="21"/>
        <v/>
      </c>
      <c r="J241" s="48"/>
      <c r="K241" s="21" t="str">
        <f t="shared" si="13"/>
        <v/>
      </c>
      <c r="L241" s="21" t="str">
        <f t="shared" si="3"/>
        <v/>
      </c>
      <c r="M241" s="21" t="str">
        <f t="array" ref="M241">IF(H241="","",SUMif(year(N$2:BO$2),M$2,N241:BO241))</f>
        <v/>
      </c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</row>
    <row r="242">
      <c r="A242" s="16" t="str">
        <f t="shared" si="14"/>
        <v/>
      </c>
      <c r="B242" s="16" t="str">
        <f t="shared" si="15"/>
        <v/>
      </c>
      <c r="C242" s="35" t="str">
        <f t="shared" si="16"/>
        <v/>
      </c>
      <c r="D242" s="35" t="str">
        <f t="shared" si="17"/>
        <v/>
      </c>
      <c r="E242" s="35" t="str">
        <f t="shared" si="18"/>
        <v/>
      </c>
      <c r="F242" s="35" t="str">
        <f t="shared" si="19"/>
        <v/>
      </c>
      <c r="G242" s="35" t="str">
        <f t="shared" si="20"/>
        <v/>
      </c>
      <c r="H242" s="25"/>
      <c r="I242" s="47" t="str">
        <f t="shared" si="21"/>
        <v/>
      </c>
      <c r="J242" s="48"/>
      <c r="K242" s="21" t="str">
        <f t="shared" si="13"/>
        <v/>
      </c>
      <c r="L242" s="21" t="str">
        <f t="shared" si="3"/>
        <v/>
      </c>
      <c r="M242" s="21" t="str">
        <f t="array" ref="M242">IF(H242="","",SUMif(year(N$2:BO$2),M$2,N242:BO242))</f>
        <v/>
      </c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</row>
    <row r="243">
      <c r="A243" s="16" t="str">
        <f t="shared" si="14"/>
        <v/>
      </c>
      <c r="B243" s="16" t="str">
        <f t="shared" si="15"/>
        <v/>
      </c>
      <c r="C243" s="35" t="str">
        <f t="shared" si="16"/>
        <v/>
      </c>
      <c r="D243" s="35" t="str">
        <f t="shared" si="17"/>
        <v/>
      </c>
      <c r="E243" s="35" t="str">
        <f t="shared" si="18"/>
        <v/>
      </c>
      <c r="F243" s="35" t="str">
        <f t="shared" si="19"/>
        <v/>
      </c>
      <c r="G243" s="35" t="str">
        <f t="shared" si="20"/>
        <v/>
      </c>
      <c r="H243" s="25"/>
      <c r="I243" s="47" t="str">
        <f t="shared" si="21"/>
        <v/>
      </c>
      <c r="J243" s="48"/>
      <c r="K243" s="21" t="str">
        <f t="shared" si="13"/>
        <v/>
      </c>
      <c r="L243" s="21" t="str">
        <f t="shared" si="3"/>
        <v/>
      </c>
      <c r="M243" s="21" t="str">
        <f t="array" ref="M243">IF(H243="","",SUMif(year(N$2:BO$2),M$2,N243:BO243))</f>
        <v/>
      </c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</row>
    <row r="244">
      <c r="A244" s="16" t="str">
        <f t="shared" si="14"/>
        <v/>
      </c>
      <c r="B244" s="16" t="str">
        <f t="shared" si="15"/>
        <v/>
      </c>
      <c r="C244" s="35" t="str">
        <f t="shared" si="16"/>
        <v/>
      </c>
      <c r="D244" s="35" t="str">
        <f t="shared" si="17"/>
        <v/>
      </c>
      <c r="E244" s="35" t="str">
        <f t="shared" si="18"/>
        <v/>
      </c>
      <c r="F244" s="35" t="str">
        <f t="shared" si="19"/>
        <v/>
      </c>
      <c r="G244" s="35" t="str">
        <f t="shared" si="20"/>
        <v/>
      </c>
      <c r="H244" s="25"/>
      <c r="I244" s="47" t="str">
        <f t="shared" si="21"/>
        <v/>
      </c>
      <c r="J244" s="48"/>
      <c r="K244" s="21" t="str">
        <f t="shared" si="13"/>
        <v/>
      </c>
      <c r="L244" s="21" t="str">
        <f t="shared" si="3"/>
        <v/>
      </c>
      <c r="M244" s="21" t="str">
        <f t="array" ref="M244">IF(H244="","",SUMif(year(N$2:BO$2),M$2,N244:BO244))</f>
        <v/>
      </c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</row>
    <row r="245">
      <c r="A245" s="16" t="str">
        <f t="shared" si="14"/>
        <v/>
      </c>
      <c r="B245" s="16" t="str">
        <f t="shared" si="15"/>
        <v/>
      </c>
      <c r="C245" s="35" t="str">
        <f t="shared" si="16"/>
        <v/>
      </c>
      <c r="D245" s="35" t="str">
        <f t="shared" si="17"/>
        <v/>
      </c>
      <c r="E245" s="35" t="str">
        <f t="shared" si="18"/>
        <v/>
      </c>
      <c r="F245" s="35" t="str">
        <f t="shared" si="19"/>
        <v/>
      </c>
      <c r="G245" s="35" t="str">
        <f t="shared" si="20"/>
        <v/>
      </c>
      <c r="H245" s="25"/>
      <c r="I245" s="47" t="str">
        <f t="shared" si="21"/>
        <v/>
      </c>
      <c r="J245" s="48"/>
      <c r="K245" s="21" t="str">
        <f t="shared" si="13"/>
        <v/>
      </c>
      <c r="L245" s="21" t="str">
        <f t="shared" si="3"/>
        <v/>
      </c>
      <c r="M245" s="21" t="str">
        <f t="array" ref="M245">IF(H245="","",SUMif(year(N$2:BO$2),M$2,N245:BO245))</f>
        <v/>
      </c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</row>
    <row r="246">
      <c r="A246" s="16" t="str">
        <f t="shared" si="14"/>
        <v/>
      </c>
      <c r="B246" s="16" t="str">
        <f t="shared" si="15"/>
        <v/>
      </c>
      <c r="C246" s="35" t="str">
        <f t="shared" si="16"/>
        <v/>
      </c>
      <c r="D246" s="35" t="str">
        <f t="shared" si="17"/>
        <v/>
      </c>
      <c r="E246" s="35" t="str">
        <f t="shared" si="18"/>
        <v/>
      </c>
      <c r="F246" s="35" t="str">
        <f t="shared" si="19"/>
        <v/>
      </c>
      <c r="G246" s="35" t="str">
        <f t="shared" si="20"/>
        <v/>
      </c>
      <c r="H246" s="25"/>
      <c r="I246" s="47" t="str">
        <f t="shared" si="21"/>
        <v/>
      </c>
      <c r="J246" s="48"/>
      <c r="K246" s="21" t="str">
        <f t="shared" si="13"/>
        <v/>
      </c>
      <c r="L246" s="21" t="str">
        <f t="shared" si="3"/>
        <v/>
      </c>
      <c r="M246" s="21" t="str">
        <f t="array" ref="M246">IF(H246="","",SUMif(year(N$2:BO$2),M$2,N246:BO246))</f>
        <v/>
      </c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</row>
    <row r="247">
      <c r="A247" s="16" t="str">
        <f t="shared" si="14"/>
        <v/>
      </c>
      <c r="B247" s="16" t="str">
        <f t="shared" si="15"/>
        <v/>
      </c>
      <c r="C247" s="35" t="str">
        <f t="shared" si="16"/>
        <v/>
      </c>
      <c r="D247" s="35" t="str">
        <f t="shared" si="17"/>
        <v/>
      </c>
      <c r="E247" s="35" t="str">
        <f t="shared" si="18"/>
        <v/>
      </c>
      <c r="F247" s="35" t="str">
        <f t="shared" si="19"/>
        <v/>
      </c>
      <c r="G247" s="35" t="str">
        <f t="shared" si="20"/>
        <v/>
      </c>
      <c r="H247" s="25"/>
      <c r="I247" s="47" t="str">
        <f t="shared" si="21"/>
        <v/>
      </c>
      <c r="J247" s="48"/>
      <c r="K247" s="21" t="str">
        <f t="shared" si="13"/>
        <v/>
      </c>
      <c r="L247" s="21" t="str">
        <f t="shared" si="3"/>
        <v/>
      </c>
      <c r="M247" s="21" t="str">
        <f t="array" ref="M247">IF(H247="","",SUMif(year(N$2:BO$2),M$2,N247:BO247))</f>
        <v/>
      </c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</row>
    <row r="248">
      <c r="A248" s="16" t="str">
        <f t="shared" si="14"/>
        <v/>
      </c>
      <c r="B248" s="16" t="str">
        <f t="shared" si="15"/>
        <v/>
      </c>
      <c r="C248" s="35" t="str">
        <f t="shared" si="16"/>
        <v/>
      </c>
      <c r="D248" s="35" t="str">
        <f t="shared" si="17"/>
        <v/>
      </c>
      <c r="E248" s="35" t="str">
        <f t="shared" si="18"/>
        <v/>
      </c>
      <c r="F248" s="35" t="str">
        <f t="shared" si="19"/>
        <v/>
      </c>
      <c r="G248" s="35" t="str">
        <f t="shared" si="20"/>
        <v/>
      </c>
      <c r="H248" s="25"/>
      <c r="I248" s="47" t="str">
        <f t="shared" si="21"/>
        <v/>
      </c>
      <c r="J248" s="48"/>
      <c r="K248" s="21" t="str">
        <f t="shared" si="13"/>
        <v/>
      </c>
      <c r="L248" s="21" t="str">
        <f t="shared" si="3"/>
        <v/>
      </c>
      <c r="M248" s="21" t="str">
        <f t="array" ref="M248">IF(H248="","",SUMif(year(N$2:BO$2),M$2,N248:BO248))</f>
        <v/>
      </c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</row>
    <row r="249">
      <c r="A249" s="16" t="str">
        <f t="shared" si="14"/>
        <v/>
      </c>
      <c r="B249" s="16" t="str">
        <f t="shared" si="15"/>
        <v/>
      </c>
      <c r="C249" s="35" t="str">
        <f t="shared" si="16"/>
        <v/>
      </c>
      <c r="D249" s="35" t="str">
        <f t="shared" si="17"/>
        <v/>
      </c>
      <c r="E249" s="35" t="str">
        <f t="shared" si="18"/>
        <v/>
      </c>
      <c r="F249" s="35" t="str">
        <f t="shared" si="19"/>
        <v/>
      </c>
      <c r="G249" s="35" t="str">
        <f t="shared" si="20"/>
        <v/>
      </c>
      <c r="H249" s="25"/>
      <c r="I249" s="47" t="str">
        <f t="shared" si="21"/>
        <v/>
      </c>
      <c r="J249" s="48"/>
      <c r="K249" s="21" t="str">
        <f t="shared" si="13"/>
        <v/>
      </c>
      <c r="L249" s="21" t="str">
        <f t="shared" si="3"/>
        <v/>
      </c>
      <c r="M249" s="21" t="str">
        <f t="array" ref="M249">IF(H249="","",SUMif(year(N$2:BO$2),M$2,N249:BO249))</f>
        <v/>
      </c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</row>
    <row r="250">
      <c r="A250" s="16" t="str">
        <f t="shared" si="14"/>
        <v/>
      </c>
      <c r="B250" s="16" t="str">
        <f t="shared" si="15"/>
        <v/>
      </c>
      <c r="C250" s="35" t="str">
        <f t="shared" si="16"/>
        <v/>
      </c>
      <c r="D250" s="35" t="str">
        <f t="shared" si="17"/>
        <v/>
      </c>
      <c r="E250" s="35" t="str">
        <f t="shared" si="18"/>
        <v/>
      </c>
      <c r="F250" s="35" t="str">
        <f t="shared" si="19"/>
        <v/>
      </c>
      <c r="G250" s="35" t="str">
        <f t="shared" si="20"/>
        <v/>
      </c>
      <c r="H250" s="25"/>
      <c r="I250" s="47" t="str">
        <f t="shared" si="21"/>
        <v/>
      </c>
      <c r="J250" s="48"/>
      <c r="K250" s="21" t="str">
        <f t="shared" si="13"/>
        <v/>
      </c>
      <c r="L250" s="21" t="str">
        <f t="shared" si="3"/>
        <v/>
      </c>
      <c r="M250" s="21" t="str">
        <f t="array" ref="M250">IF(H250="","",SUMif(year(N$2:BO$2),M$2,N250:BO250))</f>
        <v/>
      </c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</row>
    <row r="251">
      <c r="A251" s="16" t="str">
        <f t="shared" si="14"/>
        <v/>
      </c>
      <c r="B251" s="16" t="str">
        <f t="shared" si="15"/>
        <v/>
      </c>
      <c r="C251" s="35" t="str">
        <f t="shared" si="16"/>
        <v/>
      </c>
      <c r="D251" s="35" t="str">
        <f t="shared" si="17"/>
        <v/>
      </c>
      <c r="E251" s="35" t="str">
        <f t="shared" si="18"/>
        <v/>
      </c>
      <c r="F251" s="35" t="str">
        <f t="shared" si="19"/>
        <v/>
      </c>
      <c r="G251" s="35" t="str">
        <f t="shared" si="20"/>
        <v/>
      </c>
      <c r="H251" s="25"/>
      <c r="I251" s="47" t="str">
        <f t="shared" si="21"/>
        <v/>
      </c>
      <c r="J251" s="48"/>
      <c r="K251" s="21" t="str">
        <f t="shared" si="13"/>
        <v/>
      </c>
      <c r="L251" s="21" t="str">
        <f t="shared" si="3"/>
        <v/>
      </c>
      <c r="M251" s="21" t="str">
        <f t="array" ref="M251">IF(H251="","",SUMif(year(N$2:BO$2),M$2,N251:BO251))</f>
        <v/>
      </c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</row>
    <row r="252">
      <c r="A252" s="16" t="str">
        <f t="shared" si="14"/>
        <v/>
      </c>
      <c r="B252" s="16" t="str">
        <f t="shared" si="15"/>
        <v/>
      </c>
      <c r="C252" s="35" t="str">
        <f t="shared" si="16"/>
        <v/>
      </c>
      <c r="D252" s="35" t="str">
        <f t="shared" si="17"/>
        <v/>
      </c>
      <c r="E252" s="35" t="str">
        <f t="shared" si="18"/>
        <v/>
      </c>
      <c r="F252" s="35" t="str">
        <f t="shared" si="19"/>
        <v/>
      </c>
      <c r="G252" s="35" t="str">
        <f t="shared" si="20"/>
        <v/>
      </c>
      <c r="H252" s="25"/>
      <c r="I252" s="47" t="str">
        <f t="shared" si="21"/>
        <v/>
      </c>
      <c r="J252" s="48"/>
      <c r="K252" s="21" t="str">
        <f t="shared" si="13"/>
        <v/>
      </c>
      <c r="L252" s="21" t="str">
        <f t="shared" si="3"/>
        <v/>
      </c>
      <c r="M252" s="21" t="str">
        <f t="array" ref="M252">IF(H252="","",SUMif(year(N$2:BO$2),M$2,N252:BO252))</f>
        <v/>
      </c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</row>
    <row r="253">
      <c r="A253" s="16" t="str">
        <f t="shared" si="14"/>
        <v/>
      </c>
      <c r="B253" s="16" t="str">
        <f t="shared" si="15"/>
        <v/>
      </c>
      <c r="C253" s="35" t="str">
        <f t="shared" si="16"/>
        <v/>
      </c>
      <c r="D253" s="35" t="str">
        <f t="shared" si="17"/>
        <v/>
      </c>
      <c r="E253" s="35" t="str">
        <f t="shared" si="18"/>
        <v/>
      </c>
      <c r="F253" s="35" t="str">
        <f t="shared" si="19"/>
        <v/>
      </c>
      <c r="G253" s="35" t="str">
        <f t="shared" si="20"/>
        <v/>
      </c>
      <c r="H253" s="25"/>
      <c r="I253" s="47" t="str">
        <f t="shared" si="21"/>
        <v/>
      </c>
      <c r="J253" s="48"/>
      <c r="K253" s="21" t="str">
        <f t="shared" si="13"/>
        <v/>
      </c>
      <c r="L253" s="21" t="str">
        <f t="shared" si="3"/>
        <v/>
      </c>
      <c r="M253" s="21" t="str">
        <f t="array" ref="M253">IF(H253="","",SUMif(year(N$2:BO$2),M$2,N253:BO253))</f>
        <v/>
      </c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</row>
    <row r="254">
      <c r="A254" s="16" t="str">
        <f t="shared" si="14"/>
        <v/>
      </c>
      <c r="B254" s="16" t="str">
        <f t="shared" si="15"/>
        <v/>
      </c>
      <c r="C254" s="35" t="str">
        <f t="shared" si="16"/>
        <v/>
      </c>
      <c r="D254" s="35" t="str">
        <f t="shared" si="17"/>
        <v/>
      </c>
      <c r="E254" s="35" t="str">
        <f t="shared" si="18"/>
        <v/>
      </c>
      <c r="F254" s="35" t="str">
        <f t="shared" si="19"/>
        <v/>
      </c>
      <c r="G254" s="35" t="str">
        <f t="shared" si="20"/>
        <v/>
      </c>
      <c r="H254" s="25"/>
      <c r="I254" s="47" t="str">
        <f t="shared" si="21"/>
        <v/>
      </c>
      <c r="J254" s="48"/>
      <c r="K254" s="21" t="str">
        <f t="shared" si="13"/>
        <v/>
      </c>
      <c r="L254" s="21" t="str">
        <f t="shared" si="3"/>
        <v/>
      </c>
      <c r="M254" s="21" t="str">
        <f t="array" ref="M254">IF(H254="","",SUMif(year(N$2:BO$2),M$2,N254:BO254))</f>
        <v/>
      </c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</row>
    <row r="255">
      <c r="A255" s="16" t="str">
        <f t="shared" si="14"/>
        <v/>
      </c>
      <c r="B255" s="16" t="str">
        <f t="shared" si="15"/>
        <v/>
      </c>
      <c r="C255" s="35" t="str">
        <f t="shared" si="16"/>
        <v/>
      </c>
      <c r="D255" s="35" t="str">
        <f t="shared" si="17"/>
        <v/>
      </c>
      <c r="E255" s="35" t="str">
        <f t="shared" si="18"/>
        <v/>
      </c>
      <c r="F255" s="35" t="str">
        <f t="shared" si="19"/>
        <v/>
      </c>
      <c r="G255" s="35" t="str">
        <f t="shared" si="20"/>
        <v/>
      </c>
      <c r="H255" s="25"/>
      <c r="I255" s="47" t="str">
        <f t="shared" si="21"/>
        <v/>
      </c>
      <c r="J255" s="48"/>
      <c r="K255" s="21" t="str">
        <f t="shared" si="13"/>
        <v/>
      </c>
      <c r="L255" s="21" t="str">
        <f t="shared" si="3"/>
        <v/>
      </c>
      <c r="M255" s="21" t="str">
        <f t="array" ref="M255">IF(H255="","",SUMif(year(N$2:BO$2),M$2,N255:BO255))</f>
        <v/>
      </c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</row>
    <row r="256">
      <c r="A256" s="16" t="str">
        <f t="shared" si="14"/>
        <v/>
      </c>
      <c r="B256" s="16" t="str">
        <f t="shared" si="15"/>
        <v/>
      </c>
      <c r="C256" s="35" t="str">
        <f t="shared" si="16"/>
        <v/>
      </c>
      <c r="D256" s="35" t="str">
        <f t="shared" si="17"/>
        <v/>
      </c>
      <c r="E256" s="35" t="str">
        <f t="shared" si="18"/>
        <v/>
      </c>
      <c r="F256" s="35" t="str">
        <f t="shared" si="19"/>
        <v/>
      </c>
      <c r="G256" s="35" t="str">
        <f t="shared" si="20"/>
        <v/>
      </c>
      <c r="H256" s="25"/>
      <c r="I256" s="47" t="str">
        <f t="shared" si="21"/>
        <v/>
      </c>
      <c r="J256" s="48"/>
      <c r="K256" s="21" t="str">
        <f t="shared" si="13"/>
        <v/>
      </c>
      <c r="L256" s="21" t="str">
        <f t="shared" si="3"/>
        <v/>
      </c>
      <c r="M256" s="21" t="str">
        <f t="array" ref="M256">IF(H256="","",SUMif(year(N$2:BO$2),M$2,N256:BO256))</f>
        <v/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</row>
    <row r="257">
      <c r="A257" s="16" t="str">
        <f t="shared" si="14"/>
        <v/>
      </c>
      <c r="B257" s="16" t="str">
        <f t="shared" si="15"/>
        <v/>
      </c>
      <c r="C257" s="35" t="str">
        <f t="shared" si="16"/>
        <v/>
      </c>
      <c r="D257" s="35" t="str">
        <f t="shared" si="17"/>
        <v/>
      </c>
      <c r="E257" s="35" t="str">
        <f t="shared" si="18"/>
        <v/>
      </c>
      <c r="F257" s="35" t="str">
        <f t="shared" si="19"/>
        <v/>
      </c>
      <c r="G257" s="35" t="str">
        <f t="shared" si="20"/>
        <v/>
      </c>
      <c r="H257" s="25"/>
      <c r="I257" s="47" t="str">
        <f t="shared" si="21"/>
        <v/>
      </c>
      <c r="J257" s="48"/>
      <c r="K257" s="21" t="str">
        <f t="shared" si="13"/>
        <v/>
      </c>
      <c r="L257" s="21" t="str">
        <f t="shared" si="3"/>
        <v/>
      </c>
      <c r="M257" s="21" t="str">
        <f t="array" ref="M257">IF(H257="","",SUMif(year(N$2:BO$2),M$2,N257:BO257))</f>
        <v/>
      </c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</row>
    <row r="258">
      <c r="A258" s="16" t="str">
        <f t="shared" si="14"/>
        <v/>
      </c>
      <c r="B258" s="16" t="str">
        <f t="shared" si="15"/>
        <v/>
      </c>
      <c r="C258" s="35" t="str">
        <f t="shared" si="16"/>
        <v/>
      </c>
      <c r="D258" s="35" t="str">
        <f t="shared" si="17"/>
        <v/>
      </c>
      <c r="E258" s="35" t="str">
        <f t="shared" si="18"/>
        <v/>
      </c>
      <c r="F258" s="35" t="str">
        <f t="shared" si="19"/>
        <v/>
      </c>
      <c r="G258" s="35" t="str">
        <f t="shared" si="20"/>
        <v/>
      </c>
      <c r="H258" s="25"/>
      <c r="I258" s="47" t="str">
        <f t="shared" si="21"/>
        <v/>
      </c>
      <c r="J258" s="48"/>
      <c r="K258" s="21" t="str">
        <f t="shared" si="13"/>
        <v/>
      </c>
      <c r="L258" s="21" t="str">
        <f t="shared" si="3"/>
        <v/>
      </c>
      <c r="M258" s="21" t="str">
        <f t="array" ref="M258">IF(H258="","",SUMif(year(N$2:BO$2),M$2,N258:BO258))</f>
        <v/>
      </c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</row>
    <row r="259">
      <c r="A259" s="16" t="str">
        <f t="shared" si="14"/>
        <v/>
      </c>
      <c r="B259" s="16" t="str">
        <f t="shared" si="15"/>
        <v/>
      </c>
      <c r="C259" s="35" t="str">
        <f t="shared" si="16"/>
        <v/>
      </c>
      <c r="D259" s="35" t="str">
        <f t="shared" si="17"/>
        <v/>
      </c>
      <c r="E259" s="35" t="str">
        <f t="shared" si="18"/>
        <v/>
      </c>
      <c r="F259" s="35" t="str">
        <f t="shared" si="19"/>
        <v/>
      </c>
      <c r="G259" s="35" t="str">
        <f t="shared" si="20"/>
        <v/>
      </c>
      <c r="H259" s="25"/>
      <c r="I259" s="47" t="str">
        <f t="shared" si="21"/>
        <v/>
      </c>
      <c r="J259" s="48"/>
      <c r="K259" s="21" t="str">
        <f t="shared" si="13"/>
        <v/>
      </c>
      <c r="L259" s="21" t="str">
        <f t="shared" si="3"/>
        <v/>
      </c>
      <c r="M259" s="21" t="str">
        <f t="array" ref="M259">IF(H259="","",SUMif(year(N$2:BO$2),M$2,N259:BO259))</f>
        <v/>
      </c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</row>
    <row r="260">
      <c r="A260" s="16" t="str">
        <f t="shared" si="14"/>
        <v/>
      </c>
      <c r="B260" s="16" t="str">
        <f t="shared" si="15"/>
        <v/>
      </c>
      <c r="C260" s="35" t="str">
        <f t="shared" si="16"/>
        <v/>
      </c>
      <c r="D260" s="35" t="str">
        <f t="shared" si="17"/>
        <v/>
      </c>
      <c r="E260" s="35" t="str">
        <f t="shared" si="18"/>
        <v/>
      </c>
      <c r="F260" s="35" t="str">
        <f t="shared" si="19"/>
        <v/>
      </c>
      <c r="G260" s="35" t="str">
        <f t="shared" si="20"/>
        <v/>
      </c>
      <c r="H260" s="25"/>
      <c r="I260" s="47" t="str">
        <f t="shared" si="21"/>
        <v/>
      </c>
      <c r="J260" s="48"/>
      <c r="K260" s="21" t="str">
        <f t="shared" si="13"/>
        <v/>
      </c>
      <c r="L260" s="21" t="str">
        <f t="shared" si="3"/>
        <v/>
      </c>
      <c r="M260" s="21" t="str">
        <f t="array" ref="M260">IF(H260="","",SUMif(year(N$2:BO$2),M$2,N260:BO260))</f>
        <v/>
      </c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</row>
    <row r="261">
      <c r="A261" s="16" t="str">
        <f t="shared" si="14"/>
        <v/>
      </c>
      <c r="B261" s="16" t="str">
        <f t="shared" si="15"/>
        <v/>
      </c>
      <c r="C261" s="35" t="str">
        <f t="shared" si="16"/>
        <v/>
      </c>
      <c r="D261" s="35" t="str">
        <f t="shared" si="17"/>
        <v/>
      </c>
      <c r="E261" s="35" t="str">
        <f t="shared" si="18"/>
        <v/>
      </c>
      <c r="F261" s="35" t="str">
        <f t="shared" si="19"/>
        <v/>
      </c>
      <c r="G261" s="35" t="str">
        <f t="shared" si="20"/>
        <v/>
      </c>
      <c r="H261" s="25"/>
      <c r="I261" s="47" t="str">
        <f t="shared" si="21"/>
        <v/>
      </c>
      <c r="J261" s="48"/>
      <c r="K261" s="21" t="str">
        <f t="shared" si="13"/>
        <v/>
      </c>
      <c r="L261" s="21" t="str">
        <f t="shared" si="3"/>
        <v/>
      </c>
      <c r="M261" s="21" t="str">
        <f t="array" ref="M261">IF(H261="","",SUMif(year(N$2:BO$2),M$2,N261:BO261))</f>
        <v/>
      </c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</row>
    <row r="262">
      <c r="A262" s="16" t="str">
        <f t="shared" si="14"/>
        <v/>
      </c>
      <c r="B262" s="16" t="str">
        <f t="shared" si="15"/>
        <v/>
      </c>
      <c r="C262" s="35" t="str">
        <f t="shared" si="16"/>
        <v/>
      </c>
      <c r="D262" s="35" t="str">
        <f t="shared" si="17"/>
        <v/>
      </c>
      <c r="E262" s="35" t="str">
        <f t="shared" si="18"/>
        <v/>
      </c>
      <c r="F262" s="35" t="str">
        <f t="shared" si="19"/>
        <v/>
      </c>
      <c r="G262" s="35" t="str">
        <f t="shared" si="20"/>
        <v/>
      </c>
      <c r="H262" s="25"/>
      <c r="I262" s="47" t="str">
        <f t="shared" si="21"/>
        <v/>
      </c>
      <c r="J262" s="48"/>
      <c r="K262" s="21" t="str">
        <f t="shared" si="13"/>
        <v/>
      </c>
      <c r="L262" s="21" t="str">
        <f t="shared" si="3"/>
        <v/>
      </c>
      <c r="M262" s="21" t="str">
        <f t="array" ref="M262">IF(H262="","",SUMif(year(N$2:BO$2),M$2,N262:BO262))</f>
        <v/>
      </c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</row>
    <row r="263">
      <c r="A263" s="16" t="str">
        <f t="shared" si="14"/>
        <v/>
      </c>
      <c r="B263" s="16" t="str">
        <f t="shared" si="15"/>
        <v/>
      </c>
      <c r="C263" s="35" t="str">
        <f t="shared" si="16"/>
        <v/>
      </c>
      <c r="D263" s="35" t="str">
        <f t="shared" si="17"/>
        <v/>
      </c>
      <c r="E263" s="35" t="str">
        <f t="shared" si="18"/>
        <v/>
      </c>
      <c r="F263" s="35" t="str">
        <f t="shared" si="19"/>
        <v/>
      </c>
      <c r="G263" s="35" t="str">
        <f t="shared" si="20"/>
        <v/>
      </c>
      <c r="H263" s="25"/>
      <c r="I263" s="47" t="str">
        <f t="shared" si="21"/>
        <v/>
      </c>
      <c r="J263" s="48"/>
      <c r="K263" s="21" t="str">
        <f t="shared" si="13"/>
        <v/>
      </c>
      <c r="L263" s="21" t="str">
        <f t="shared" si="3"/>
        <v/>
      </c>
      <c r="M263" s="21" t="str">
        <f t="array" ref="M263">IF(H263="","",SUMif(year(N$2:BO$2),M$2,N263:BO263))</f>
        <v/>
      </c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</row>
    <row r="264">
      <c r="A264" s="16" t="str">
        <f t="shared" si="14"/>
        <v/>
      </c>
      <c r="B264" s="16" t="str">
        <f t="shared" si="15"/>
        <v/>
      </c>
      <c r="C264" s="35" t="str">
        <f t="shared" si="16"/>
        <v/>
      </c>
      <c r="D264" s="35" t="str">
        <f t="shared" si="17"/>
        <v/>
      </c>
      <c r="E264" s="35" t="str">
        <f t="shared" si="18"/>
        <v/>
      </c>
      <c r="F264" s="35" t="str">
        <f t="shared" si="19"/>
        <v/>
      </c>
      <c r="G264" s="35" t="str">
        <f t="shared" si="20"/>
        <v/>
      </c>
      <c r="H264" s="25"/>
      <c r="I264" s="47" t="str">
        <f t="shared" si="21"/>
        <v/>
      </c>
      <c r="J264" s="48"/>
      <c r="K264" s="21" t="str">
        <f t="shared" si="13"/>
        <v/>
      </c>
      <c r="L264" s="21" t="str">
        <f t="shared" si="3"/>
        <v/>
      </c>
      <c r="M264" s="21" t="str">
        <f t="array" ref="M264">IF(H264="","",SUMif(year(N$2:BO$2),M$2,N264:BO264))</f>
        <v/>
      </c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</row>
    <row r="265">
      <c r="A265" s="16" t="str">
        <f t="shared" si="14"/>
        <v/>
      </c>
      <c r="B265" s="16" t="str">
        <f t="shared" si="15"/>
        <v/>
      </c>
      <c r="C265" s="35" t="str">
        <f t="shared" si="16"/>
        <v/>
      </c>
      <c r="D265" s="35" t="str">
        <f t="shared" si="17"/>
        <v/>
      </c>
      <c r="E265" s="35" t="str">
        <f t="shared" si="18"/>
        <v/>
      </c>
      <c r="F265" s="35" t="str">
        <f t="shared" si="19"/>
        <v/>
      </c>
      <c r="G265" s="35" t="str">
        <f t="shared" si="20"/>
        <v/>
      </c>
      <c r="H265" s="25"/>
      <c r="I265" s="47" t="str">
        <f t="shared" si="21"/>
        <v/>
      </c>
      <c r="J265" s="48"/>
      <c r="K265" s="21" t="str">
        <f t="shared" si="13"/>
        <v/>
      </c>
      <c r="L265" s="21" t="str">
        <f t="shared" si="3"/>
        <v/>
      </c>
      <c r="M265" s="21" t="str">
        <f t="array" ref="M265">IF(H265="","",SUMif(year(N$2:BO$2),M$2,N265:BO265))</f>
        <v/>
      </c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</row>
    <row r="266">
      <c r="A266" s="16" t="str">
        <f t="shared" si="14"/>
        <v/>
      </c>
      <c r="B266" s="16" t="str">
        <f t="shared" si="15"/>
        <v/>
      </c>
      <c r="C266" s="35" t="str">
        <f t="shared" si="16"/>
        <v/>
      </c>
      <c r="D266" s="35" t="str">
        <f t="shared" si="17"/>
        <v/>
      </c>
      <c r="E266" s="35" t="str">
        <f t="shared" si="18"/>
        <v/>
      </c>
      <c r="F266" s="35" t="str">
        <f t="shared" si="19"/>
        <v/>
      </c>
      <c r="G266" s="35" t="str">
        <f t="shared" si="20"/>
        <v/>
      </c>
      <c r="H266" s="25"/>
      <c r="I266" s="47" t="str">
        <f t="shared" si="21"/>
        <v/>
      </c>
      <c r="J266" s="48"/>
      <c r="K266" s="21" t="str">
        <f t="shared" si="13"/>
        <v/>
      </c>
      <c r="L266" s="21" t="str">
        <f t="shared" si="3"/>
        <v/>
      </c>
      <c r="M266" s="21" t="str">
        <f t="array" ref="M266">IF(H266="","",SUMif(year(N$2:BO$2),M$2,N266:BO266))</f>
        <v/>
      </c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</row>
    <row r="267">
      <c r="A267" s="16" t="str">
        <f t="shared" si="14"/>
        <v/>
      </c>
      <c r="B267" s="16" t="str">
        <f t="shared" si="15"/>
        <v/>
      </c>
      <c r="C267" s="35" t="str">
        <f t="shared" si="16"/>
        <v/>
      </c>
      <c r="D267" s="35" t="str">
        <f t="shared" si="17"/>
        <v/>
      </c>
      <c r="E267" s="35" t="str">
        <f t="shared" si="18"/>
        <v/>
      </c>
      <c r="F267" s="35" t="str">
        <f t="shared" si="19"/>
        <v/>
      </c>
      <c r="G267" s="35" t="str">
        <f t="shared" si="20"/>
        <v/>
      </c>
      <c r="H267" s="25"/>
      <c r="I267" s="47" t="str">
        <f t="shared" si="21"/>
        <v/>
      </c>
      <c r="J267" s="48"/>
      <c r="K267" s="21" t="str">
        <f t="shared" si="13"/>
        <v/>
      </c>
      <c r="L267" s="21" t="str">
        <f t="shared" si="3"/>
        <v/>
      </c>
      <c r="M267" s="21" t="str">
        <f t="array" ref="M267">IF(H267="","",SUMif(year(N$2:BO$2),M$2,N267:BO267))</f>
        <v/>
      </c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</row>
    <row r="268">
      <c r="A268" s="16" t="str">
        <f t="shared" si="14"/>
        <v/>
      </c>
      <c r="B268" s="16" t="str">
        <f t="shared" si="15"/>
        <v/>
      </c>
      <c r="C268" s="35" t="str">
        <f t="shared" si="16"/>
        <v/>
      </c>
      <c r="D268" s="35" t="str">
        <f t="shared" si="17"/>
        <v/>
      </c>
      <c r="E268" s="35" t="str">
        <f t="shared" si="18"/>
        <v/>
      </c>
      <c r="F268" s="35" t="str">
        <f t="shared" si="19"/>
        <v/>
      </c>
      <c r="G268" s="35" t="str">
        <f t="shared" si="20"/>
        <v/>
      </c>
      <c r="H268" s="25"/>
      <c r="I268" s="47" t="str">
        <f t="shared" si="21"/>
        <v/>
      </c>
      <c r="J268" s="48"/>
      <c r="K268" s="21" t="str">
        <f t="shared" si="13"/>
        <v/>
      </c>
      <c r="L268" s="21" t="str">
        <f t="shared" si="3"/>
        <v/>
      </c>
      <c r="M268" s="21" t="str">
        <f t="array" ref="M268">IF(H268="","",SUMif(year(N$2:BO$2),M$2,N268:BO268))</f>
        <v/>
      </c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</row>
    <row r="269">
      <c r="A269" s="16" t="str">
        <f t="shared" si="14"/>
        <v/>
      </c>
      <c r="B269" s="16" t="str">
        <f t="shared" si="15"/>
        <v/>
      </c>
      <c r="C269" s="35" t="str">
        <f t="shared" si="16"/>
        <v/>
      </c>
      <c r="D269" s="35" t="str">
        <f t="shared" si="17"/>
        <v/>
      </c>
      <c r="E269" s="35" t="str">
        <f t="shared" si="18"/>
        <v/>
      </c>
      <c r="F269" s="35" t="str">
        <f t="shared" si="19"/>
        <v/>
      </c>
      <c r="G269" s="35" t="str">
        <f t="shared" si="20"/>
        <v/>
      </c>
      <c r="H269" s="25"/>
      <c r="I269" s="47" t="str">
        <f t="shared" si="21"/>
        <v/>
      </c>
      <c r="J269" s="48"/>
      <c r="K269" s="21" t="str">
        <f t="shared" si="13"/>
        <v/>
      </c>
      <c r="L269" s="21" t="str">
        <f t="shared" si="3"/>
        <v/>
      </c>
      <c r="M269" s="21" t="str">
        <f t="array" ref="M269">IF(H269="","",SUMif(year(N$2:BO$2),M$2,N269:BO269))</f>
        <v/>
      </c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</row>
    <row r="270">
      <c r="A270" s="16" t="str">
        <f t="shared" si="14"/>
        <v/>
      </c>
      <c r="B270" s="16" t="str">
        <f t="shared" si="15"/>
        <v/>
      </c>
      <c r="C270" s="35" t="str">
        <f t="shared" si="16"/>
        <v/>
      </c>
      <c r="D270" s="35" t="str">
        <f t="shared" si="17"/>
        <v/>
      </c>
      <c r="E270" s="35" t="str">
        <f t="shared" si="18"/>
        <v/>
      </c>
      <c r="F270" s="35" t="str">
        <f t="shared" si="19"/>
        <v/>
      </c>
      <c r="G270" s="35" t="str">
        <f t="shared" si="20"/>
        <v/>
      </c>
      <c r="H270" s="25"/>
      <c r="I270" s="47" t="str">
        <f t="shared" si="21"/>
        <v/>
      </c>
      <c r="J270" s="48"/>
      <c r="K270" s="21" t="str">
        <f t="shared" si="13"/>
        <v/>
      </c>
      <c r="L270" s="21" t="str">
        <f t="shared" si="3"/>
        <v/>
      </c>
      <c r="M270" s="21" t="str">
        <f t="array" ref="M270">IF(H270="","",SUMif(year(N$2:BO$2),M$2,N270:BO270))</f>
        <v/>
      </c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</row>
    <row r="271">
      <c r="A271" s="16" t="str">
        <f t="shared" si="14"/>
        <v/>
      </c>
      <c r="B271" s="16" t="str">
        <f t="shared" si="15"/>
        <v/>
      </c>
      <c r="C271" s="35" t="str">
        <f t="shared" si="16"/>
        <v/>
      </c>
      <c r="D271" s="35" t="str">
        <f t="shared" si="17"/>
        <v/>
      </c>
      <c r="E271" s="35" t="str">
        <f t="shared" si="18"/>
        <v/>
      </c>
      <c r="F271" s="35" t="str">
        <f t="shared" si="19"/>
        <v/>
      </c>
      <c r="G271" s="35" t="str">
        <f t="shared" si="20"/>
        <v/>
      </c>
      <c r="H271" s="25"/>
      <c r="I271" s="47" t="str">
        <f t="shared" si="21"/>
        <v/>
      </c>
      <c r="J271" s="48"/>
      <c r="K271" s="21" t="str">
        <f t="shared" si="13"/>
        <v/>
      </c>
      <c r="L271" s="21" t="str">
        <f t="shared" si="3"/>
        <v/>
      </c>
      <c r="M271" s="21" t="str">
        <f t="array" ref="M271">IF(H271="","",SUMif(year(N$2:BO$2),M$2,N271:BO271))</f>
        <v/>
      </c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</row>
    <row r="272">
      <c r="A272" s="16" t="str">
        <f t="shared" si="14"/>
        <v/>
      </c>
      <c r="B272" s="16" t="str">
        <f t="shared" si="15"/>
        <v/>
      </c>
      <c r="C272" s="35" t="str">
        <f t="shared" si="16"/>
        <v/>
      </c>
      <c r="D272" s="35" t="str">
        <f t="shared" si="17"/>
        <v/>
      </c>
      <c r="E272" s="35" t="str">
        <f t="shared" si="18"/>
        <v/>
      </c>
      <c r="F272" s="35" t="str">
        <f t="shared" si="19"/>
        <v/>
      </c>
      <c r="G272" s="35" t="str">
        <f t="shared" si="20"/>
        <v/>
      </c>
      <c r="H272" s="25"/>
      <c r="I272" s="47" t="str">
        <f t="shared" si="21"/>
        <v/>
      </c>
      <c r="J272" s="48"/>
      <c r="K272" s="21" t="str">
        <f t="shared" si="13"/>
        <v/>
      </c>
      <c r="L272" s="21" t="str">
        <f t="shared" si="3"/>
        <v/>
      </c>
      <c r="M272" s="21" t="str">
        <f t="array" ref="M272">IF(H272="","",SUMif(year(N$2:BO$2),M$2,N272:BO272))</f>
        <v/>
      </c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</row>
    <row r="273">
      <c r="A273" s="16" t="str">
        <f t="shared" si="14"/>
        <v/>
      </c>
      <c r="B273" s="16" t="str">
        <f t="shared" si="15"/>
        <v/>
      </c>
      <c r="C273" s="35" t="str">
        <f t="shared" si="16"/>
        <v/>
      </c>
      <c r="D273" s="35" t="str">
        <f t="shared" si="17"/>
        <v/>
      </c>
      <c r="E273" s="35" t="str">
        <f t="shared" si="18"/>
        <v/>
      </c>
      <c r="F273" s="35" t="str">
        <f t="shared" si="19"/>
        <v/>
      </c>
      <c r="G273" s="35" t="str">
        <f t="shared" si="20"/>
        <v/>
      </c>
      <c r="H273" s="25"/>
      <c r="I273" s="47" t="str">
        <f t="shared" si="21"/>
        <v/>
      </c>
      <c r="J273" s="48"/>
      <c r="K273" s="21" t="str">
        <f t="shared" si="13"/>
        <v/>
      </c>
      <c r="L273" s="21" t="str">
        <f t="shared" si="3"/>
        <v/>
      </c>
      <c r="M273" s="21" t="str">
        <f t="array" ref="M273">IF(H273="","",SUMif(year(N$2:BO$2),M$2,N273:BO273))</f>
        <v/>
      </c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</row>
    <row r="274">
      <c r="A274" s="16" t="str">
        <f t="shared" si="14"/>
        <v/>
      </c>
      <c r="B274" s="16" t="str">
        <f t="shared" si="15"/>
        <v/>
      </c>
      <c r="C274" s="35" t="str">
        <f t="shared" si="16"/>
        <v/>
      </c>
      <c r="D274" s="35" t="str">
        <f t="shared" si="17"/>
        <v/>
      </c>
      <c r="E274" s="35" t="str">
        <f t="shared" si="18"/>
        <v/>
      </c>
      <c r="F274" s="35" t="str">
        <f t="shared" si="19"/>
        <v/>
      </c>
      <c r="G274" s="35" t="str">
        <f t="shared" si="20"/>
        <v/>
      </c>
      <c r="H274" s="25"/>
      <c r="I274" s="47" t="str">
        <f t="shared" si="21"/>
        <v/>
      </c>
      <c r="J274" s="48"/>
      <c r="K274" s="21" t="str">
        <f t="shared" si="13"/>
        <v/>
      </c>
      <c r="L274" s="21" t="str">
        <f t="shared" si="3"/>
        <v/>
      </c>
      <c r="M274" s="21" t="str">
        <f t="array" ref="M274">IF(H274="","",SUMif(year(N$2:BO$2),M$2,N274:BO274))</f>
        <v/>
      </c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</row>
    <row r="275">
      <c r="A275" s="16" t="str">
        <f t="shared" si="14"/>
        <v/>
      </c>
      <c r="B275" s="16" t="str">
        <f t="shared" si="15"/>
        <v/>
      </c>
      <c r="C275" s="35" t="str">
        <f t="shared" si="16"/>
        <v/>
      </c>
      <c r="D275" s="35" t="str">
        <f t="shared" si="17"/>
        <v/>
      </c>
      <c r="E275" s="35" t="str">
        <f t="shared" si="18"/>
        <v/>
      </c>
      <c r="F275" s="35" t="str">
        <f t="shared" si="19"/>
        <v/>
      </c>
      <c r="G275" s="35" t="str">
        <f t="shared" si="20"/>
        <v/>
      </c>
      <c r="H275" s="25"/>
      <c r="I275" s="47" t="str">
        <f t="shared" si="21"/>
        <v/>
      </c>
      <c r="J275" s="48"/>
      <c r="K275" s="21" t="str">
        <f t="shared" si="13"/>
        <v/>
      </c>
      <c r="L275" s="21" t="str">
        <f t="shared" si="3"/>
        <v/>
      </c>
      <c r="M275" s="21" t="str">
        <f t="array" ref="M275">IF(H275="","",SUMif(year(N$2:BO$2),M$2,N275:BO275))</f>
        <v/>
      </c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</row>
    <row r="276">
      <c r="A276" s="16" t="str">
        <f t="shared" si="14"/>
        <v/>
      </c>
      <c r="B276" s="16" t="str">
        <f t="shared" si="15"/>
        <v/>
      </c>
      <c r="C276" s="35" t="str">
        <f t="shared" si="16"/>
        <v/>
      </c>
      <c r="D276" s="35" t="str">
        <f t="shared" si="17"/>
        <v/>
      </c>
      <c r="E276" s="35" t="str">
        <f t="shared" si="18"/>
        <v/>
      </c>
      <c r="F276" s="35" t="str">
        <f t="shared" si="19"/>
        <v/>
      </c>
      <c r="G276" s="35" t="str">
        <f t="shared" si="20"/>
        <v/>
      </c>
      <c r="H276" s="25"/>
      <c r="I276" s="47" t="str">
        <f t="shared" si="21"/>
        <v/>
      </c>
      <c r="J276" s="48"/>
      <c r="K276" s="21" t="str">
        <f t="shared" si="13"/>
        <v/>
      </c>
      <c r="L276" s="21" t="str">
        <f t="shared" si="3"/>
        <v/>
      </c>
      <c r="M276" s="21" t="str">
        <f t="array" ref="M276">IF(H276="","",SUMif(year(N$2:BO$2),M$2,N276:BO276))</f>
        <v/>
      </c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</row>
    <row r="277">
      <c r="A277" s="16" t="str">
        <f t="shared" si="14"/>
        <v/>
      </c>
      <c r="B277" s="16" t="str">
        <f t="shared" si="15"/>
        <v/>
      </c>
      <c r="C277" s="35" t="str">
        <f t="shared" si="16"/>
        <v/>
      </c>
      <c r="D277" s="35" t="str">
        <f t="shared" si="17"/>
        <v/>
      </c>
      <c r="E277" s="35" t="str">
        <f t="shared" si="18"/>
        <v/>
      </c>
      <c r="F277" s="35" t="str">
        <f t="shared" si="19"/>
        <v/>
      </c>
      <c r="G277" s="35" t="str">
        <f t="shared" si="20"/>
        <v/>
      </c>
      <c r="H277" s="25"/>
      <c r="I277" s="47" t="str">
        <f t="shared" si="21"/>
        <v/>
      </c>
      <c r="J277" s="48"/>
      <c r="K277" s="21" t="str">
        <f t="shared" si="13"/>
        <v/>
      </c>
      <c r="L277" s="21" t="str">
        <f t="shared" si="3"/>
        <v/>
      </c>
      <c r="M277" s="21" t="str">
        <f t="array" ref="M277">IF(H277="","",SUMif(year(N$2:BO$2),M$2,N277:BO277))</f>
        <v/>
      </c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</row>
    <row r="278">
      <c r="A278" s="16" t="str">
        <f t="shared" si="14"/>
        <v/>
      </c>
      <c r="B278" s="16" t="str">
        <f t="shared" si="15"/>
        <v/>
      </c>
      <c r="C278" s="35" t="str">
        <f t="shared" si="16"/>
        <v/>
      </c>
      <c r="D278" s="35" t="str">
        <f t="shared" si="17"/>
        <v/>
      </c>
      <c r="E278" s="35" t="str">
        <f t="shared" si="18"/>
        <v/>
      </c>
      <c r="F278" s="35" t="str">
        <f t="shared" si="19"/>
        <v/>
      </c>
      <c r="G278" s="35" t="str">
        <f t="shared" si="20"/>
        <v/>
      </c>
      <c r="H278" s="25"/>
      <c r="I278" s="47" t="str">
        <f t="shared" si="21"/>
        <v/>
      </c>
      <c r="J278" s="48"/>
      <c r="K278" s="21" t="str">
        <f t="shared" si="13"/>
        <v/>
      </c>
      <c r="L278" s="21" t="str">
        <f t="shared" si="3"/>
        <v/>
      </c>
      <c r="M278" s="21" t="str">
        <f t="array" ref="M278">IF(H278="","",SUMif(year(N$2:BO$2),M$2,N278:BO278))</f>
        <v/>
      </c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</row>
    <row r="279">
      <c r="A279" s="16" t="str">
        <f t="shared" si="14"/>
        <v/>
      </c>
      <c r="B279" s="16" t="str">
        <f t="shared" si="15"/>
        <v/>
      </c>
      <c r="C279" s="35" t="str">
        <f t="shared" si="16"/>
        <v/>
      </c>
      <c r="D279" s="35" t="str">
        <f t="shared" si="17"/>
        <v/>
      </c>
      <c r="E279" s="35" t="str">
        <f t="shared" si="18"/>
        <v/>
      </c>
      <c r="F279" s="35" t="str">
        <f t="shared" si="19"/>
        <v/>
      </c>
      <c r="G279" s="35" t="str">
        <f t="shared" si="20"/>
        <v/>
      </c>
      <c r="H279" s="25"/>
      <c r="I279" s="47" t="str">
        <f t="shared" si="21"/>
        <v/>
      </c>
      <c r="J279" s="48"/>
      <c r="K279" s="21" t="str">
        <f t="shared" si="13"/>
        <v/>
      </c>
      <c r="L279" s="21" t="str">
        <f t="shared" si="3"/>
        <v/>
      </c>
      <c r="M279" s="21" t="str">
        <f t="array" ref="M279">IF(H279="","",SUMif(year(N$2:BO$2),M$2,N279:BO279))</f>
        <v/>
      </c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</row>
    <row r="280">
      <c r="A280" s="16" t="str">
        <f t="shared" si="14"/>
        <v/>
      </c>
      <c r="B280" s="16" t="str">
        <f t="shared" si="15"/>
        <v/>
      </c>
      <c r="C280" s="35" t="str">
        <f t="shared" si="16"/>
        <v/>
      </c>
      <c r="D280" s="35" t="str">
        <f t="shared" si="17"/>
        <v/>
      </c>
      <c r="E280" s="35" t="str">
        <f t="shared" si="18"/>
        <v/>
      </c>
      <c r="F280" s="35" t="str">
        <f t="shared" si="19"/>
        <v/>
      </c>
      <c r="G280" s="35" t="str">
        <f t="shared" si="20"/>
        <v/>
      </c>
      <c r="H280" s="25"/>
      <c r="I280" s="47" t="str">
        <f t="shared" si="21"/>
        <v/>
      </c>
      <c r="J280" s="48"/>
      <c r="K280" s="21" t="str">
        <f t="shared" si="13"/>
        <v/>
      </c>
      <c r="L280" s="21" t="str">
        <f t="shared" si="3"/>
        <v/>
      </c>
      <c r="M280" s="21" t="str">
        <f t="array" ref="M280">IF(H280="","",SUMif(year(N$2:BO$2),M$2,N280:BO280))</f>
        <v/>
      </c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</row>
    <row r="281">
      <c r="A281" s="16" t="str">
        <f t="shared" si="14"/>
        <v/>
      </c>
      <c r="B281" s="16" t="str">
        <f t="shared" si="15"/>
        <v/>
      </c>
      <c r="C281" s="35" t="str">
        <f t="shared" si="16"/>
        <v/>
      </c>
      <c r="D281" s="35" t="str">
        <f t="shared" si="17"/>
        <v/>
      </c>
      <c r="E281" s="35" t="str">
        <f t="shared" si="18"/>
        <v/>
      </c>
      <c r="F281" s="35" t="str">
        <f t="shared" si="19"/>
        <v/>
      </c>
      <c r="G281" s="35" t="str">
        <f t="shared" si="20"/>
        <v/>
      </c>
      <c r="H281" s="25"/>
      <c r="I281" s="47" t="str">
        <f t="shared" si="21"/>
        <v/>
      </c>
      <c r="J281" s="48"/>
      <c r="K281" s="21" t="str">
        <f t="shared" si="13"/>
        <v/>
      </c>
      <c r="L281" s="21" t="str">
        <f t="shared" si="3"/>
        <v/>
      </c>
      <c r="M281" s="21" t="str">
        <f t="array" ref="M281">IF(H281="","",SUMif(year(N$2:BO$2),M$2,N281:BO281))</f>
        <v/>
      </c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</row>
    <row r="282">
      <c r="A282" s="16" t="str">
        <f t="shared" si="14"/>
        <v/>
      </c>
      <c r="B282" s="16" t="str">
        <f t="shared" si="15"/>
        <v/>
      </c>
      <c r="C282" s="35" t="str">
        <f t="shared" si="16"/>
        <v/>
      </c>
      <c r="D282" s="35" t="str">
        <f t="shared" si="17"/>
        <v/>
      </c>
      <c r="E282" s="35" t="str">
        <f t="shared" si="18"/>
        <v/>
      </c>
      <c r="F282" s="35" t="str">
        <f t="shared" si="19"/>
        <v/>
      </c>
      <c r="G282" s="35" t="str">
        <f t="shared" si="20"/>
        <v/>
      </c>
      <c r="H282" s="25"/>
      <c r="I282" s="47" t="str">
        <f t="shared" si="21"/>
        <v/>
      </c>
      <c r="J282" s="48"/>
      <c r="K282" s="21" t="str">
        <f t="shared" si="13"/>
        <v/>
      </c>
      <c r="L282" s="21" t="str">
        <f t="shared" si="3"/>
        <v/>
      </c>
      <c r="M282" s="21" t="str">
        <f t="array" ref="M282">IF(H282="","",SUMif(year(N$2:BO$2),M$2,N282:BO282))</f>
        <v/>
      </c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</row>
    <row r="283">
      <c r="A283" s="16" t="str">
        <f t="shared" si="14"/>
        <v/>
      </c>
      <c r="B283" s="16" t="str">
        <f t="shared" si="15"/>
        <v/>
      </c>
      <c r="C283" s="35" t="str">
        <f t="shared" si="16"/>
        <v/>
      </c>
      <c r="D283" s="35" t="str">
        <f t="shared" si="17"/>
        <v/>
      </c>
      <c r="E283" s="35" t="str">
        <f t="shared" si="18"/>
        <v/>
      </c>
      <c r="F283" s="35" t="str">
        <f t="shared" si="19"/>
        <v/>
      </c>
      <c r="G283" s="35" t="str">
        <f t="shared" si="20"/>
        <v/>
      </c>
      <c r="H283" s="25"/>
      <c r="I283" s="47" t="str">
        <f t="shared" si="21"/>
        <v/>
      </c>
      <c r="J283" s="48"/>
      <c r="K283" s="21" t="str">
        <f t="shared" si="13"/>
        <v/>
      </c>
      <c r="L283" s="21" t="str">
        <f t="shared" si="3"/>
        <v/>
      </c>
      <c r="M283" s="21" t="str">
        <f t="array" ref="M283">IF(H283="","",SUMif(year(N$2:BO$2),M$2,N283:BO283))</f>
        <v/>
      </c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</row>
    <row r="284">
      <c r="A284" s="16" t="str">
        <f t="shared" si="14"/>
        <v/>
      </c>
      <c r="B284" s="16" t="str">
        <f t="shared" si="15"/>
        <v/>
      </c>
      <c r="C284" s="35" t="str">
        <f t="shared" si="16"/>
        <v/>
      </c>
      <c r="D284" s="35" t="str">
        <f t="shared" si="17"/>
        <v/>
      </c>
      <c r="E284" s="35" t="str">
        <f t="shared" si="18"/>
        <v/>
      </c>
      <c r="F284" s="35" t="str">
        <f t="shared" si="19"/>
        <v/>
      </c>
      <c r="G284" s="35" t="str">
        <f t="shared" si="20"/>
        <v/>
      </c>
      <c r="H284" s="25"/>
      <c r="I284" s="47" t="str">
        <f t="shared" si="21"/>
        <v/>
      </c>
      <c r="J284" s="48"/>
      <c r="K284" s="21" t="str">
        <f t="shared" si="13"/>
        <v/>
      </c>
      <c r="L284" s="21" t="str">
        <f t="shared" si="3"/>
        <v/>
      </c>
      <c r="M284" s="21" t="str">
        <f t="array" ref="M284">IF(H284="","",SUMif(year(N$2:BO$2),M$2,N284:BO284))</f>
        <v/>
      </c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</row>
    <row r="285">
      <c r="A285" s="16" t="str">
        <f t="shared" si="14"/>
        <v/>
      </c>
      <c r="B285" s="16" t="str">
        <f t="shared" si="15"/>
        <v/>
      </c>
      <c r="C285" s="35" t="str">
        <f t="shared" si="16"/>
        <v/>
      </c>
      <c r="D285" s="35" t="str">
        <f t="shared" si="17"/>
        <v/>
      </c>
      <c r="E285" s="35" t="str">
        <f t="shared" si="18"/>
        <v/>
      </c>
      <c r="F285" s="35" t="str">
        <f t="shared" si="19"/>
        <v/>
      </c>
      <c r="G285" s="35" t="str">
        <f t="shared" si="20"/>
        <v/>
      </c>
      <c r="H285" s="25"/>
      <c r="I285" s="47" t="str">
        <f t="shared" si="21"/>
        <v/>
      </c>
      <c r="J285" s="48"/>
      <c r="K285" s="21" t="str">
        <f t="shared" si="13"/>
        <v/>
      </c>
      <c r="L285" s="21" t="str">
        <f t="shared" si="3"/>
        <v/>
      </c>
      <c r="M285" s="21" t="str">
        <f t="array" ref="M285">IF(H285="","",SUMif(year(N$2:BO$2),M$2,N285:BO285))</f>
        <v/>
      </c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</row>
    <row r="286">
      <c r="A286" s="16" t="str">
        <f t="shared" si="14"/>
        <v/>
      </c>
      <c r="B286" s="16" t="str">
        <f t="shared" si="15"/>
        <v/>
      </c>
      <c r="C286" s="35" t="str">
        <f t="shared" si="16"/>
        <v/>
      </c>
      <c r="D286" s="35" t="str">
        <f t="shared" si="17"/>
        <v/>
      </c>
      <c r="E286" s="35" t="str">
        <f t="shared" si="18"/>
        <v/>
      </c>
      <c r="F286" s="35" t="str">
        <f t="shared" si="19"/>
        <v/>
      </c>
      <c r="G286" s="35" t="str">
        <f t="shared" si="20"/>
        <v/>
      </c>
      <c r="H286" s="25"/>
      <c r="I286" s="47" t="str">
        <f t="shared" si="21"/>
        <v/>
      </c>
      <c r="J286" s="48"/>
      <c r="K286" s="21" t="str">
        <f t="shared" si="13"/>
        <v/>
      </c>
      <c r="L286" s="21" t="str">
        <f t="shared" si="3"/>
        <v/>
      </c>
      <c r="M286" s="21" t="str">
        <f t="array" ref="M286">IF(H286="","",SUMif(year(N$2:BO$2),M$2,N286:BO286))</f>
        <v/>
      </c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</row>
    <row r="287">
      <c r="A287" s="16" t="str">
        <f t="shared" si="14"/>
        <v/>
      </c>
      <c r="B287" s="16" t="str">
        <f t="shared" si="15"/>
        <v/>
      </c>
      <c r="C287" s="35" t="str">
        <f t="shared" si="16"/>
        <v/>
      </c>
      <c r="D287" s="35" t="str">
        <f t="shared" si="17"/>
        <v/>
      </c>
      <c r="E287" s="35" t="str">
        <f t="shared" si="18"/>
        <v/>
      </c>
      <c r="F287" s="35" t="str">
        <f t="shared" si="19"/>
        <v/>
      </c>
      <c r="G287" s="35" t="str">
        <f t="shared" si="20"/>
        <v/>
      </c>
      <c r="H287" s="25"/>
      <c r="I287" s="47" t="str">
        <f t="shared" si="21"/>
        <v/>
      </c>
      <c r="J287" s="48"/>
      <c r="K287" s="21" t="str">
        <f t="shared" si="13"/>
        <v/>
      </c>
      <c r="L287" s="21" t="str">
        <f t="shared" si="3"/>
        <v/>
      </c>
      <c r="M287" s="21" t="str">
        <f t="array" ref="M287">IF(H287="","",SUMif(year(N$2:BO$2),M$2,N287:BO287))</f>
        <v/>
      </c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</row>
    <row r="288">
      <c r="A288" s="16" t="str">
        <f t="shared" si="14"/>
        <v/>
      </c>
      <c r="B288" s="16" t="str">
        <f t="shared" si="15"/>
        <v/>
      </c>
      <c r="C288" s="35" t="str">
        <f t="shared" si="16"/>
        <v/>
      </c>
      <c r="D288" s="35" t="str">
        <f t="shared" si="17"/>
        <v/>
      </c>
      <c r="E288" s="35" t="str">
        <f t="shared" si="18"/>
        <v/>
      </c>
      <c r="F288" s="35" t="str">
        <f t="shared" si="19"/>
        <v/>
      </c>
      <c r="G288" s="35" t="str">
        <f t="shared" si="20"/>
        <v/>
      </c>
      <c r="H288" s="25"/>
      <c r="I288" s="47" t="str">
        <f t="shared" si="21"/>
        <v/>
      </c>
      <c r="J288" s="48"/>
      <c r="K288" s="21" t="str">
        <f t="shared" si="13"/>
        <v/>
      </c>
      <c r="L288" s="21" t="str">
        <f t="shared" si="3"/>
        <v/>
      </c>
      <c r="M288" s="21" t="str">
        <f t="array" ref="M288">IF(H288="","",SUMif(year(N$2:BO$2),M$2,N288:BO288))</f>
        <v/>
      </c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</row>
    <row r="289">
      <c r="A289" s="16" t="str">
        <f t="shared" si="14"/>
        <v/>
      </c>
      <c r="B289" s="16" t="str">
        <f t="shared" si="15"/>
        <v/>
      </c>
      <c r="C289" s="35" t="str">
        <f t="shared" si="16"/>
        <v/>
      </c>
      <c r="D289" s="35" t="str">
        <f t="shared" si="17"/>
        <v/>
      </c>
      <c r="E289" s="35" t="str">
        <f t="shared" si="18"/>
        <v/>
      </c>
      <c r="F289" s="35" t="str">
        <f t="shared" si="19"/>
        <v/>
      </c>
      <c r="G289" s="35" t="str">
        <f t="shared" si="20"/>
        <v/>
      </c>
      <c r="H289" s="25"/>
      <c r="I289" s="47" t="str">
        <f t="shared" si="21"/>
        <v/>
      </c>
      <c r="J289" s="48"/>
      <c r="K289" s="21" t="str">
        <f t="shared" si="13"/>
        <v/>
      </c>
      <c r="L289" s="21" t="str">
        <f t="shared" si="3"/>
        <v/>
      </c>
      <c r="M289" s="21" t="str">
        <f t="array" ref="M289">IF(H289="","",SUMif(year(N$2:BO$2),M$2,N289:BO289))</f>
        <v/>
      </c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</row>
    <row r="290">
      <c r="A290" s="16" t="str">
        <f t="shared" si="14"/>
        <v/>
      </c>
      <c r="B290" s="16" t="str">
        <f t="shared" si="15"/>
        <v/>
      </c>
      <c r="C290" s="35" t="str">
        <f t="shared" si="16"/>
        <v/>
      </c>
      <c r="D290" s="35" t="str">
        <f t="shared" si="17"/>
        <v/>
      </c>
      <c r="E290" s="35" t="str">
        <f t="shared" si="18"/>
        <v/>
      </c>
      <c r="F290" s="35" t="str">
        <f t="shared" si="19"/>
        <v/>
      </c>
      <c r="G290" s="35" t="str">
        <f t="shared" si="20"/>
        <v/>
      </c>
      <c r="H290" s="25"/>
      <c r="I290" s="47" t="str">
        <f t="shared" si="21"/>
        <v/>
      </c>
      <c r="J290" s="48"/>
      <c r="K290" s="21" t="str">
        <f t="shared" si="13"/>
        <v/>
      </c>
      <c r="L290" s="21" t="str">
        <f t="shared" si="3"/>
        <v/>
      </c>
      <c r="M290" s="21" t="str">
        <f t="array" ref="M290">IF(H290="","",SUMif(year(N$2:BO$2),M$2,N290:BO290))</f>
        <v/>
      </c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</row>
    <row r="291">
      <c r="A291" s="16" t="str">
        <f t="shared" si="14"/>
        <v/>
      </c>
      <c r="B291" s="16" t="str">
        <f t="shared" si="15"/>
        <v/>
      </c>
      <c r="C291" s="35" t="str">
        <f t="shared" si="16"/>
        <v/>
      </c>
      <c r="D291" s="35" t="str">
        <f t="shared" si="17"/>
        <v/>
      </c>
      <c r="E291" s="35" t="str">
        <f t="shared" si="18"/>
        <v/>
      </c>
      <c r="F291" s="35" t="str">
        <f t="shared" si="19"/>
        <v/>
      </c>
      <c r="G291" s="35" t="str">
        <f t="shared" si="20"/>
        <v/>
      </c>
      <c r="H291" s="25"/>
      <c r="I291" s="47" t="str">
        <f t="shared" si="21"/>
        <v/>
      </c>
      <c r="J291" s="48"/>
      <c r="K291" s="21" t="str">
        <f t="shared" si="13"/>
        <v/>
      </c>
      <c r="L291" s="21" t="str">
        <f t="shared" si="3"/>
        <v/>
      </c>
      <c r="M291" s="21" t="str">
        <f t="array" ref="M291">IF(H291="","",SUMif(year(N$2:BO$2),M$2,N291:BO291))</f>
        <v/>
      </c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</row>
    <row r="292">
      <c r="A292" s="16" t="str">
        <f t="shared" si="14"/>
        <v/>
      </c>
      <c r="B292" s="16" t="str">
        <f t="shared" si="15"/>
        <v/>
      </c>
      <c r="C292" s="35" t="str">
        <f t="shared" si="16"/>
        <v/>
      </c>
      <c r="D292" s="35" t="str">
        <f t="shared" si="17"/>
        <v/>
      </c>
      <c r="E292" s="35" t="str">
        <f t="shared" si="18"/>
        <v/>
      </c>
      <c r="F292" s="35" t="str">
        <f t="shared" si="19"/>
        <v/>
      </c>
      <c r="G292" s="35" t="str">
        <f t="shared" si="20"/>
        <v/>
      </c>
      <c r="H292" s="25"/>
      <c r="I292" s="47" t="str">
        <f t="shared" si="21"/>
        <v/>
      </c>
      <c r="J292" s="48"/>
      <c r="K292" s="21" t="str">
        <f t="shared" si="13"/>
        <v/>
      </c>
      <c r="L292" s="21" t="str">
        <f t="shared" si="3"/>
        <v/>
      </c>
      <c r="M292" s="21" t="str">
        <f t="array" ref="M292">IF(H292="","",SUMif(year(N$2:BO$2),M$2,N292:BO292))</f>
        <v/>
      </c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</row>
    <row r="293">
      <c r="A293" s="16" t="str">
        <f t="shared" si="14"/>
        <v/>
      </c>
      <c r="B293" s="16" t="str">
        <f t="shared" si="15"/>
        <v/>
      </c>
      <c r="C293" s="35" t="str">
        <f t="shared" si="16"/>
        <v/>
      </c>
      <c r="D293" s="35" t="str">
        <f t="shared" si="17"/>
        <v/>
      </c>
      <c r="E293" s="35" t="str">
        <f t="shared" si="18"/>
        <v/>
      </c>
      <c r="F293" s="35" t="str">
        <f t="shared" si="19"/>
        <v/>
      </c>
      <c r="G293" s="35" t="str">
        <f t="shared" si="20"/>
        <v/>
      </c>
      <c r="H293" s="25"/>
      <c r="I293" s="47" t="str">
        <f t="shared" si="21"/>
        <v/>
      </c>
      <c r="J293" s="48"/>
      <c r="K293" s="21" t="str">
        <f t="shared" si="13"/>
        <v/>
      </c>
      <c r="L293" s="21" t="str">
        <f t="shared" si="3"/>
        <v/>
      </c>
      <c r="M293" s="21" t="str">
        <f t="array" ref="M293">IF(H293="","",SUMif(year(N$2:BO$2),M$2,N293:BO293))</f>
        <v/>
      </c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</row>
    <row r="294">
      <c r="A294" s="16" t="str">
        <f t="shared" si="14"/>
        <v/>
      </c>
      <c r="B294" s="16" t="str">
        <f t="shared" si="15"/>
        <v/>
      </c>
      <c r="C294" s="35" t="str">
        <f t="shared" si="16"/>
        <v/>
      </c>
      <c r="D294" s="35" t="str">
        <f t="shared" si="17"/>
        <v/>
      </c>
      <c r="E294" s="35" t="str">
        <f t="shared" si="18"/>
        <v/>
      </c>
      <c r="F294" s="35" t="str">
        <f t="shared" si="19"/>
        <v/>
      </c>
      <c r="G294" s="35" t="str">
        <f t="shared" si="20"/>
        <v/>
      </c>
      <c r="H294" s="25"/>
      <c r="I294" s="47" t="str">
        <f t="shared" si="21"/>
        <v/>
      </c>
      <c r="J294" s="48"/>
      <c r="K294" s="21" t="str">
        <f t="shared" si="13"/>
        <v/>
      </c>
      <c r="L294" s="21" t="str">
        <f t="shared" si="3"/>
        <v/>
      </c>
      <c r="M294" s="21" t="str">
        <f t="array" ref="M294">IF(H294="","",SUMif(year(N$2:BO$2),M$2,N294:BO294))</f>
        <v/>
      </c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</row>
    <row r="295">
      <c r="A295" s="16" t="str">
        <f t="shared" si="14"/>
        <v/>
      </c>
      <c r="B295" s="16" t="str">
        <f t="shared" si="15"/>
        <v/>
      </c>
      <c r="C295" s="35" t="str">
        <f t="shared" si="16"/>
        <v/>
      </c>
      <c r="D295" s="35" t="str">
        <f t="shared" si="17"/>
        <v/>
      </c>
      <c r="E295" s="35" t="str">
        <f t="shared" si="18"/>
        <v/>
      </c>
      <c r="F295" s="35" t="str">
        <f t="shared" si="19"/>
        <v/>
      </c>
      <c r="G295" s="35" t="str">
        <f t="shared" si="20"/>
        <v/>
      </c>
      <c r="H295" s="25"/>
      <c r="I295" s="47" t="str">
        <f t="shared" si="21"/>
        <v/>
      </c>
      <c r="J295" s="48"/>
      <c r="K295" s="21" t="str">
        <f t="shared" si="13"/>
        <v/>
      </c>
      <c r="L295" s="21" t="str">
        <f t="shared" si="3"/>
        <v/>
      </c>
      <c r="M295" s="21" t="str">
        <f t="array" ref="M295">IF(H295="","",SUMif(year(N$2:BO$2),M$2,N295:BO295))</f>
        <v/>
      </c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</row>
    <row r="296">
      <c r="A296" s="16" t="str">
        <f t="shared" si="14"/>
        <v/>
      </c>
      <c r="B296" s="16" t="str">
        <f t="shared" si="15"/>
        <v/>
      </c>
      <c r="C296" s="35" t="str">
        <f t="shared" si="16"/>
        <v/>
      </c>
      <c r="D296" s="35" t="str">
        <f t="shared" si="17"/>
        <v/>
      </c>
      <c r="E296" s="35" t="str">
        <f t="shared" si="18"/>
        <v/>
      </c>
      <c r="F296" s="35" t="str">
        <f t="shared" si="19"/>
        <v/>
      </c>
      <c r="G296" s="35" t="str">
        <f t="shared" si="20"/>
        <v/>
      </c>
      <c r="H296" s="25"/>
      <c r="I296" s="47" t="str">
        <f t="shared" si="21"/>
        <v/>
      </c>
      <c r="J296" s="48"/>
      <c r="K296" s="21" t="str">
        <f t="shared" si="13"/>
        <v/>
      </c>
      <c r="L296" s="21" t="str">
        <f t="shared" si="3"/>
        <v/>
      </c>
      <c r="M296" s="21" t="str">
        <f t="array" ref="M296">IF(H296="","",SUMif(year(N$2:BO$2),M$2,N296:BO296))</f>
        <v/>
      </c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</row>
    <row r="297">
      <c r="A297" s="16" t="str">
        <f t="shared" si="14"/>
        <v/>
      </c>
      <c r="B297" s="16" t="str">
        <f t="shared" si="15"/>
        <v/>
      </c>
      <c r="C297" s="35" t="str">
        <f t="shared" si="16"/>
        <v/>
      </c>
      <c r="D297" s="35" t="str">
        <f t="shared" si="17"/>
        <v/>
      </c>
      <c r="E297" s="35" t="str">
        <f t="shared" si="18"/>
        <v/>
      </c>
      <c r="F297" s="35" t="str">
        <f t="shared" si="19"/>
        <v/>
      </c>
      <c r="G297" s="35" t="str">
        <f t="shared" si="20"/>
        <v/>
      </c>
      <c r="H297" s="25"/>
      <c r="I297" s="47" t="str">
        <f t="shared" si="21"/>
        <v/>
      </c>
      <c r="J297" s="48"/>
      <c r="K297" s="21" t="str">
        <f t="shared" si="13"/>
        <v/>
      </c>
      <c r="L297" s="21" t="str">
        <f t="shared" si="3"/>
        <v/>
      </c>
      <c r="M297" s="21" t="str">
        <f t="array" ref="M297">IF(H297="","",SUMif(year(N$2:BO$2),M$2,N297:BO297))</f>
        <v/>
      </c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</row>
    <row r="298">
      <c r="A298" s="16" t="str">
        <f t="shared" si="14"/>
        <v/>
      </c>
      <c r="B298" s="16" t="str">
        <f t="shared" si="15"/>
        <v/>
      </c>
      <c r="C298" s="35" t="str">
        <f t="shared" si="16"/>
        <v/>
      </c>
      <c r="D298" s="35" t="str">
        <f t="shared" si="17"/>
        <v/>
      </c>
      <c r="E298" s="35" t="str">
        <f t="shared" si="18"/>
        <v/>
      </c>
      <c r="F298" s="35" t="str">
        <f t="shared" si="19"/>
        <v/>
      </c>
      <c r="G298" s="35" t="str">
        <f t="shared" si="20"/>
        <v/>
      </c>
      <c r="H298" s="25"/>
      <c r="I298" s="47" t="str">
        <f t="shared" si="21"/>
        <v/>
      </c>
      <c r="J298" s="48"/>
      <c r="K298" s="21" t="str">
        <f t="shared" si="13"/>
        <v/>
      </c>
      <c r="L298" s="21" t="str">
        <f t="shared" si="3"/>
        <v/>
      </c>
      <c r="M298" s="21" t="str">
        <f t="array" ref="M298">IF(H298="","",SUMif(year(N$2:BO$2),M$2,N298:BO298))</f>
        <v/>
      </c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</row>
    <row r="299">
      <c r="A299" s="16" t="str">
        <f t="shared" si="14"/>
        <v/>
      </c>
      <c r="B299" s="16" t="str">
        <f t="shared" si="15"/>
        <v/>
      </c>
      <c r="C299" s="35" t="str">
        <f t="shared" si="16"/>
        <v/>
      </c>
      <c r="D299" s="35" t="str">
        <f t="shared" si="17"/>
        <v/>
      </c>
      <c r="E299" s="35" t="str">
        <f t="shared" si="18"/>
        <v/>
      </c>
      <c r="F299" s="35" t="str">
        <f t="shared" si="19"/>
        <v/>
      </c>
      <c r="G299" s="35" t="str">
        <f t="shared" si="20"/>
        <v/>
      </c>
      <c r="H299" s="25"/>
      <c r="I299" s="47" t="str">
        <f t="shared" si="21"/>
        <v/>
      </c>
      <c r="J299" s="48"/>
      <c r="K299" s="21" t="str">
        <f t="shared" si="13"/>
        <v/>
      </c>
      <c r="L299" s="21" t="str">
        <f t="shared" si="3"/>
        <v/>
      </c>
      <c r="M299" s="21" t="str">
        <f t="array" ref="M299">IF(H299="","",SUMif(year(N$2:BO$2),M$2,N299:BO299))</f>
        <v/>
      </c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</row>
    <row r="300">
      <c r="A300" s="16" t="str">
        <f t="shared" si="14"/>
        <v/>
      </c>
      <c r="B300" s="16" t="str">
        <f t="shared" si="15"/>
        <v/>
      </c>
      <c r="C300" s="35" t="str">
        <f t="shared" si="16"/>
        <v/>
      </c>
      <c r="D300" s="35" t="str">
        <f t="shared" si="17"/>
        <v/>
      </c>
      <c r="E300" s="35" t="str">
        <f t="shared" si="18"/>
        <v/>
      </c>
      <c r="F300" s="35" t="str">
        <f t="shared" si="19"/>
        <v/>
      </c>
      <c r="G300" s="35" t="str">
        <f t="shared" si="20"/>
        <v/>
      </c>
      <c r="H300" s="25"/>
      <c r="I300" s="47" t="str">
        <f t="shared" si="21"/>
        <v/>
      </c>
      <c r="J300" s="48"/>
      <c r="K300" s="21" t="str">
        <f t="shared" si="13"/>
        <v/>
      </c>
      <c r="L300" s="21" t="str">
        <f t="shared" si="3"/>
        <v/>
      </c>
      <c r="M300" s="21" t="str">
        <f t="array" ref="M300">IF(H300="","",SUMif(year(N$2:BO$2),M$2,N300:BO300))</f>
        <v/>
      </c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</row>
    <row r="301">
      <c r="A301" s="16" t="str">
        <f t="shared" si="14"/>
        <v/>
      </c>
      <c r="B301" s="16" t="str">
        <f t="shared" si="15"/>
        <v/>
      </c>
      <c r="C301" s="35" t="str">
        <f t="shared" si="16"/>
        <v/>
      </c>
      <c r="D301" s="35" t="str">
        <f t="shared" si="17"/>
        <v/>
      </c>
      <c r="E301" s="35" t="str">
        <f t="shared" si="18"/>
        <v/>
      </c>
      <c r="F301" s="35" t="str">
        <f t="shared" si="19"/>
        <v/>
      </c>
      <c r="G301" s="35" t="str">
        <f t="shared" si="20"/>
        <v/>
      </c>
      <c r="H301" s="25"/>
      <c r="I301" s="47" t="str">
        <f t="shared" si="21"/>
        <v/>
      </c>
      <c r="J301" s="48"/>
      <c r="K301" s="21" t="str">
        <f t="shared" si="13"/>
        <v/>
      </c>
      <c r="L301" s="21" t="str">
        <f t="shared" si="3"/>
        <v/>
      </c>
      <c r="M301" s="21" t="str">
        <f t="array" ref="M301">IF(H301="","",SUMif(year(N$2:BO$2),M$2,N301:BO301))</f>
        <v/>
      </c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</row>
    <row r="302">
      <c r="A302" s="16" t="str">
        <f t="shared" si="14"/>
        <v/>
      </c>
      <c r="B302" s="16" t="str">
        <f t="shared" si="15"/>
        <v/>
      </c>
      <c r="C302" s="35" t="str">
        <f t="shared" si="16"/>
        <v/>
      </c>
      <c r="D302" s="35" t="str">
        <f t="shared" si="17"/>
        <v/>
      </c>
      <c r="E302" s="35" t="str">
        <f t="shared" si="18"/>
        <v/>
      </c>
      <c r="F302" s="35" t="str">
        <f t="shared" si="19"/>
        <v/>
      </c>
      <c r="G302" s="35" t="str">
        <f t="shared" si="20"/>
        <v/>
      </c>
      <c r="H302" s="25"/>
      <c r="I302" s="47" t="str">
        <f t="shared" si="21"/>
        <v/>
      </c>
      <c r="J302" s="48"/>
      <c r="K302" s="21" t="str">
        <f t="shared" si="13"/>
        <v/>
      </c>
      <c r="L302" s="21" t="str">
        <f t="shared" si="3"/>
        <v/>
      </c>
      <c r="M302" s="21" t="str">
        <f t="array" ref="M302">IF(H302="","",SUMif(year(N$2:BO$2),M$2,N302:BO302))</f>
        <v/>
      </c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</row>
    <row r="303">
      <c r="A303" s="16" t="str">
        <f t="shared" si="14"/>
        <v/>
      </c>
      <c r="B303" s="16" t="str">
        <f t="shared" si="15"/>
        <v/>
      </c>
      <c r="C303" s="35" t="str">
        <f t="shared" si="16"/>
        <v/>
      </c>
      <c r="D303" s="35" t="str">
        <f t="shared" si="17"/>
        <v/>
      </c>
      <c r="E303" s="35" t="str">
        <f t="shared" si="18"/>
        <v/>
      </c>
      <c r="F303" s="35" t="str">
        <f t="shared" si="19"/>
        <v/>
      </c>
      <c r="G303" s="35" t="str">
        <f t="shared" si="20"/>
        <v/>
      </c>
      <c r="H303" s="25"/>
      <c r="I303" s="47" t="str">
        <f t="shared" si="21"/>
        <v/>
      </c>
      <c r="J303" s="48"/>
      <c r="K303" s="21" t="str">
        <f t="shared" si="13"/>
        <v/>
      </c>
      <c r="L303" s="21" t="str">
        <f t="shared" si="3"/>
        <v/>
      </c>
      <c r="M303" s="21" t="str">
        <f t="array" ref="M303">IF(H303="","",SUMif(year(N$2:BO$2),M$2,N303:BO303))</f>
        <v/>
      </c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</row>
    <row r="304">
      <c r="A304" s="16" t="str">
        <f t="shared" si="14"/>
        <v/>
      </c>
      <c r="B304" s="16" t="str">
        <f t="shared" si="15"/>
        <v/>
      </c>
      <c r="C304" s="35" t="str">
        <f t="shared" si="16"/>
        <v/>
      </c>
      <c r="D304" s="35" t="str">
        <f t="shared" si="17"/>
        <v/>
      </c>
      <c r="E304" s="35" t="str">
        <f t="shared" si="18"/>
        <v/>
      </c>
      <c r="F304" s="35" t="str">
        <f t="shared" si="19"/>
        <v/>
      </c>
      <c r="G304" s="35" t="str">
        <f t="shared" si="20"/>
        <v/>
      </c>
      <c r="H304" s="25"/>
      <c r="I304" s="47" t="str">
        <f t="shared" si="21"/>
        <v/>
      </c>
      <c r="J304" s="48"/>
      <c r="K304" s="21" t="str">
        <f t="shared" si="13"/>
        <v/>
      </c>
      <c r="L304" s="21" t="str">
        <f t="shared" si="3"/>
        <v/>
      </c>
      <c r="M304" s="21" t="str">
        <f t="array" ref="M304">IF(H304="","",SUMif(year(N$2:BO$2),M$2,N304:BO304))</f>
        <v/>
      </c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</row>
    <row r="305">
      <c r="A305" s="16" t="str">
        <f t="shared" si="14"/>
        <v/>
      </c>
      <c r="B305" s="16" t="str">
        <f t="shared" si="15"/>
        <v/>
      </c>
      <c r="C305" s="35" t="str">
        <f t="shared" si="16"/>
        <v/>
      </c>
      <c r="D305" s="35" t="str">
        <f t="shared" si="17"/>
        <v/>
      </c>
      <c r="E305" s="35" t="str">
        <f t="shared" si="18"/>
        <v/>
      </c>
      <c r="F305" s="35" t="str">
        <f t="shared" si="19"/>
        <v/>
      </c>
      <c r="G305" s="35" t="str">
        <f t="shared" si="20"/>
        <v/>
      </c>
      <c r="H305" s="25"/>
      <c r="I305" s="47" t="str">
        <f t="shared" si="21"/>
        <v/>
      </c>
      <c r="J305" s="48"/>
      <c r="K305" s="21" t="str">
        <f t="shared" si="13"/>
        <v/>
      </c>
      <c r="L305" s="21" t="str">
        <f t="shared" si="3"/>
        <v/>
      </c>
      <c r="M305" s="21" t="str">
        <f t="array" ref="M305">IF(H305="","",SUMif(year(N$2:BO$2),M$2,N305:BO305))</f>
        <v/>
      </c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</row>
    <row r="306">
      <c r="A306" s="16" t="str">
        <f t="shared" si="14"/>
        <v/>
      </c>
      <c r="B306" s="16" t="str">
        <f t="shared" si="15"/>
        <v/>
      </c>
      <c r="C306" s="35" t="str">
        <f t="shared" si="16"/>
        <v/>
      </c>
      <c r="D306" s="35" t="str">
        <f t="shared" si="17"/>
        <v/>
      </c>
      <c r="E306" s="35" t="str">
        <f t="shared" si="18"/>
        <v/>
      </c>
      <c r="F306" s="35" t="str">
        <f t="shared" si="19"/>
        <v/>
      </c>
      <c r="G306" s="35" t="str">
        <f t="shared" si="20"/>
        <v/>
      </c>
      <c r="H306" s="25"/>
      <c r="I306" s="47" t="str">
        <f t="shared" si="21"/>
        <v/>
      </c>
      <c r="J306" s="48"/>
      <c r="K306" s="21" t="str">
        <f t="shared" si="13"/>
        <v/>
      </c>
      <c r="L306" s="21" t="str">
        <f t="shared" si="3"/>
        <v/>
      </c>
      <c r="M306" s="21" t="str">
        <f t="array" ref="M306">IF(H306="","",SUMif(year(N$2:BO$2),M$2,N306:BO306))</f>
        <v/>
      </c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</row>
    <row r="307">
      <c r="A307" s="16" t="str">
        <f t="shared" si="14"/>
        <v/>
      </c>
      <c r="B307" s="16" t="str">
        <f t="shared" si="15"/>
        <v/>
      </c>
      <c r="C307" s="35" t="str">
        <f t="shared" si="16"/>
        <v/>
      </c>
      <c r="D307" s="35" t="str">
        <f t="shared" si="17"/>
        <v/>
      </c>
      <c r="E307" s="35" t="str">
        <f t="shared" si="18"/>
        <v/>
      </c>
      <c r="F307" s="35" t="str">
        <f t="shared" si="19"/>
        <v/>
      </c>
      <c r="G307" s="35" t="str">
        <f t="shared" si="20"/>
        <v/>
      </c>
      <c r="H307" s="25"/>
      <c r="I307" s="47" t="str">
        <f t="shared" si="21"/>
        <v/>
      </c>
      <c r="J307" s="48"/>
      <c r="K307" s="21" t="str">
        <f t="shared" si="13"/>
        <v/>
      </c>
      <c r="L307" s="21" t="str">
        <f t="shared" si="3"/>
        <v/>
      </c>
      <c r="M307" s="21" t="str">
        <f t="array" ref="M307">IF(H307="","",SUMif(year(N$2:BO$2),M$2,N307:BO307))</f>
        <v/>
      </c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</row>
    <row r="308">
      <c r="A308" s="16" t="str">
        <f t="shared" si="14"/>
        <v/>
      </c>
      <c r="B308" s="16" t="str">
        <f t="shared" si="15"/>
        <v/>
      </c>
      <c r="C308" s="35" t="str">
        <f t="shared" si="16"/>
        <v/>
      </c>
      <c r="D308" s="35" t="str">
        <f t="shared" si="17"/>
        <v/>
      </c>
      <c r="E308" s="35" t="str">
        <f t="shared" si="18"/>
        <v/>
      </c>
      <c r="F308" s="35" t="str">
        <f t="shared" si="19"/>
        <v/>
      </c>
      <c r="G308" s="35" t="str">
        <f t="shared" si="20"/>
        <v/>
      </c>
      <c r="H308" s="25"/>
      <c r="I308" s="47" t="str">
        <f t="shared" si="21"/>
        <v/>
      </c>
      <c r="J308" s="48"/>
      <c r="K308" s="21" t="str">
        <f t="shared" si="13"/>
        <v/>
      </c>
      <c r="L308" s="21" t="str">
        <f t="shared" si="3"/>
        <v/>
      </c>
      <c r="M308" s="21" t="str">
        <f t="array" ref="M308">IF(H308="","",SUMif(year(N$2:BO$2),M$2,N308:BO308))</f>
        <v/>
      </c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</row>
    <row r="309">
      <c r="A309" s="16" t="str">
        <f t="shared" si="14"/>
        <v/>
      </c>
      <c r="B309" s="16" t="str">
        <f t="shared" si="15"/>
        <v/>
      </c>
      <c r="C309" s="35" t="str">
        <f t="shared" si="16"/>
        <v/>
      </c>
      <c r="D309" s="35" t="str">
        <f t="shared" si="17"/>
        <v/>
      </c>
      <c r="E309" s="35" t="str">
        <f t="shared" si="18"/>
        <v/>
      </c>
      <c r="F309" s="35" t="str">
        <f t="shared" si="19"/>
        <v/>
      </c>
      <c r="G309" s="35" t="str">
        <f t="shared" si="20"/>
        <v/>
      </c>
      <c r="H309" s="25"/>
      <c r="I309" s="47" t="str">
        <f t="shared" si="21"/>
        <v/>
      </c>
      <c r="J309" s="48"/>
      <c r="K309" s="21" t="str">
        <f t="shared" si="13"/>
        <v/>
      </c>
      <c r="L309" s="21" t="str">
        <f t="shared" si="3"/>
        <v/>
      </c>
      <c r="M309" s="21" t="str">
        <f t="array" ref="M309">IF(H309="","",SUMif(year(N$2:BO$2),M$2,N309:BO309))</f>
        <v/>
      </c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</row>
    <row r="310">
      <c r="A310" s="16" t="str">
        <f t="shared" si="14"/>
        <v/>
      </c>
      <c r="B310" s="16" t="str">
        <f t="shared" si="15"/>
        <v/>
      </c>
      <c r="C310" s="35" t="str">
        <f t="shared" si="16"/>
        <v/>
      </c>
      <c r="D310" s="35" t="str">
        <f t="shared" si="17"/>
        <v/>
      </c>
      <c r="E310" s="35" t="str">
        <f t="shared" si="18"/>
        <v/>
      </c>
      <c r="F310" s="35" t="str">
        <f t="shared" si="19"/>
        <v/>
      </c>
      <c r="G310" s="35" t="str">
        <f t="shared" si="20"/>
        <v/>
      </c>
      <c r="H310" s="25"/>
      <c r="I310" s="47" t="str">
        <f t="shared" si="21"/>
        <v/>
      </c>
      <c r="J310" s="48"/>
      <c r="K310" s="21" t="str">
        <f t="shared" si="13"/>
        <v/>
      </c>
      <c r="L310" s="21" t="str">
        <f t="shared" si="3"/>
        <v/>
      </c>
      <c r="M310" s="21" t="str">
        <f t="array" ref="M310">IF(H310="","",SUMif(year(N$2:BO$2),M$2,N310:BO310))</f>
        <v/>
      </c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</row>
    <row r="311">
      <c r="A311" s="16" t="str">
        <f t="shared" si="14"/>
        <v/>
      </c>
      <c r="B311" s="16" t="str">
        <f t="shared" si="15"/>
        <v/>
      </c>
      <c r="C311" s="35" t="str">
        <f t="shared" si="16"/>
        <v/>
      </c>
      <c r="D311" s="35" t="str">
        <f t="shared" si="17"/>
        <v/>
      </c>
      <c r="E311" s="35" t="str">
        <f t="shared" si="18"/>
        <v/>
      </c>
      <c r="F311" s="35" t="str">
        <f t="shared" si="19"/>
        <v/>
      </c>
      <c r="G311" s="35" t="str">
        <f t="shared" si="20"/>
        <v/>
      </c>
      <c r="H311" s="25"/>
      <c r="I311" s="47" t="str">
        <f t="shared" si="21"/>
        <v/>
      </c>
      <c r="J311" s="48"/>
      <c r="K311" s="21" t="str">
        <f t="shared" si="13"/>
        <v/>
      </c>
      <c r="L311" s="21" t="str">
        <f t="shared" si="3"/>
        <v/>
      </c>
      <c r="M311" s="21" t="str">
        <f t="array" ref="M311">IF(H311="","",SUMif(year(N$2:BO$2),M$2,N311:BO311))</f>
        <v/>
      </c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</row>
    <row r="312">
      <c r="A312" s="16" t="str">
        <f t="shared" si="14"/>
        <v/>
      </c>
      <c r="B312" s="16" t="str">
        <f t="shared" si="15"/>
        <v/>
      </c>
      <c r="C312" s="35" t="str">
        <f t="shared" si="16"/>
        <v/>
      </c>
      <c r="D312" s="35" t="str">
        <f t="shared" si="17"/>
        <v/>
      </c>
      <c r="E312" s="35" t="str">
        <f t="shared" si="18"/>
        <v/>
      </c>
      <c r="F312" s="35" t="str">
        <f t="shared" si="19"/>
        <v/>
      </c>
      <c r="G312" s="35" t="str">
        <f t="shared" si="20"/>
        <v/>
      </c>
      <c r="H312" s="25"/>
      <c r="I312" s="47" t="str">
        <f t="shared" si="21"/>
        <v/>
      </c>
      <c r="J312" s="48"/>
      <c r="K312" s="21" t="str">
        <f t="shared" si="13"/>
        <v/>
      </c>
      <c r="L312" s="21" t="str">
        <f t="shared" si="3"/>
        <v/>
      </c>
      <c r="M312" s="21" t="str">
        <f t="array" ref="M312">IF(H312="","",SUMif(year(N$2:BO$2),M$2,N312:BO312))</f>
        <v/>
      </c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</row>
    <row r="313">
      <c r="A313" s="16" t="str">
        <f t="shared" si="14"/>
        <v/>
      </c>
      <c r="B313" s="16" t="str">
        <f t="shared" si="15"/>
        <v/>
      </c>
      <c r="C313" s="35" t="str">
        <f t="shared" si="16"/>
        <v/>
      </c>
      <c r="D313" s="35" t="str">
        <f t="shared" si="17"/>
        <v/>
      </c>
      <c r="E313" s="35" t="str">
        <f t="shared" si="18"/>
        <v/>
      </c>
      <c r="F313" s="35" t="str">
        <f t="shared" si="19"/>
        <v/>
      </c>
      <c r="G313" s="35" t="str">
        <f t="shared" si="20"/>
        <v/>
      </c>
      <c r="H313" s="25"/>
      <c r="I313" s="47" t="str">
        <f t="shared" si="21"/>
        <v/>
      </c>
      <c r="J313" s="48"/>
      <c r="K313" s="21" t="str">
        <f t="shared" si="13"/>
        <v/>
      </c>
      <c r="L313" s="21" t="str">
        <f t="shared" si="3"/>
        <v/>
      </c>
      <c r="M313" s="21" t="str">
        <f t="array" ref="M313">IF(H313="","",SUMif(year(N$2:BO$2),M$2,N313:BO313))</f>
        <v/>
      </c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</row>
    <row r="314">
      <c r="A314" s="16" t="str">
        <f t="shared" si="14"/>
        <v/>
      </c>
      <c r="B314" s="16" t="str">
        <f t="shared" si="15"/>
        <v/>
      </c>
      <c r="C314" s="35" t="str">
        <f t="shared" si="16"/>
        <v/>
      </c>
      <c r="D314" s="35" t="str">
        <f t="shared" si="17"/>
        <v/>
      </c>
      <c r="E314" s="35" t="str">
        <f t="shared" si="18"/>
        <v/>
      </c>
      <c r="F314" s="35" t="str">
        <f t="shared" si="19"/>
        <v/>
      </c>
      <c r="G314" s="35" t="str">
        <f t="shared" si="20"/>
        <v/>
      </c>
      <c r="H314" s="25"/>
      <c r="I314" s="47" t="str">
        <f t="shared" si="21"/>
        <v/>
      </c>
      <c r="J314" s="48"/>
      <c r="K314" s="21" t="str">
        <f t="shared" si="13"/>
        <v/>
      </c>
      <c r="L314" s="21" t="str">
        <f t="shared" si="3"/>
        <v/>
      </c>
      <c r="M314" s="21" t="str">
        <f t="array" ref="M314">IF(H314="","",SUMif(year(N$2:BO$2),M$2,N314:BO314))</f>
        <v/>
      </c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</row>
    <row r="315">
      <c r="A315" s="16" t="str">
        <f t="shared" si="14"/>
        <v/>
      </c>
      <c r="B315" s="16" t="str">
        <f t="shared" si="15"/>
        <v/>
      </c>
      <c r="C315" s="35" t="str">
        <f t="shared" si="16"/>
        <v/>
      </c>
      <c r="D315" s="35" t="str">
        <f t="shared" si="17"/>
        <v/>
      </c>
      <c r="E315" s="35" t="str">
        <f t="shared" si="18"/>
        <v/>
      </c>
      <c r="F315" s="35" t="str">
        <f t="shared" si="19"/>
        <v/>
      </c>
      <c r="G315" s="35" t="str">
        <f t="shared" si="20"/>
        <v/>
      </c>
      <c r="H315" s="25"/>
      <c r="I315" s="47" t="str">
        <f t="shared" si="21"/>
        <v/>
      </c>
      <c r="J315" s="48"/>
      <c r="K315" s="21" t="str">
        <f t="shared" si="13"/>
        <v/>
      </c>
      <c r="L315" s="21" t="str">
        <f t="shared" si="3"/>
        <v/>
      </c>
      <c r="M315" s="21" t="str">
        <f t="array" ref="M315">IF(H315="","",SUMif(year(N$2:BO$2),M$2,N315:BO315))</f>
        <v/>
      </c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</row>
    <row r="316">
      <c r="A316" s="16" t="str">
        <f t="shared" si="14"/>
        <v/>
      </c>
      <c r="B316" s="16" t="str">
        <f t="shared" si="15"/>
        <v/>
      </c>
      <c r="C316" s="35" t="str">
        <f t="shared" si="16"/>
        <v/>
      </c>
      <c r="D316" s="35" t="str">
        <f t="shared" si="17"/>
        <v/>
      </c>
      <c r="E316" s="35" t="str">
        <f t="shared" si="18"/>
        <v/>
      </c>
      <c r="F316" s="35" t="str">
        <f t="shared" si="19"/>
        <v/>
      </c>
      <c r="G316" s="35" t="str">
        <f t="shared" si="20"/>
        <v/>
      </c>
      <c r="H316" s="25"/>
      <c r="I316" s="47" t="str">
        <f t="shared" si="21"/>
        <v/>
      </c>
      <c r="J316" s="48"/>
      <c r="K316" s="21" t="str">
        <f t="shared" si="13"/>
        <v/>
      </c>
      <c r="L316" s="21" t="str">
        <f t="shared" si="3"/>
        <v/>
      </c>
      <c r="M316" s="21" t="str">
        <f t="array" ref="M316">IF(H316="","",SUMif(year(N$2:BO$2),M$2,N316:BO316))</f>
        <v/>
      </c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</row>
    <row r="317">
      <c r="A317" s="16" t="str">
        <f t="shared" si="14"/>
        <v/>
      </c>
      <c r="B317" s="16" t="str">
        <f t="shared" si="15"/>
        <v/>
      </c>
      <c r="C317" s="35" t="str">
        <f t="shared" si="16"/>
        <v/>
      </c>
      <c r="D317" s="35" t="str">
        <f t="shared" si="17"/>
        <v/>
      </c>
      <c r="E317" s="35" t="str">
        <f t="shared" si="18"/>
        <v/>
      </c>
      <c r="F317" s="35" t="str">
        <f t="shared" si="19"/>
        <v/>
      </c>
      <c r="G317" s="35" t="str">
        <f t="shared" si="20"/>
        <v/>
      </c>
      <c r="H317" s="25"/>
      <c r="I317" s="47" t="str">
        <f t="shared" si="21"/>
        <v/>
      </c>
      <c r="J317" s="48"/>
      <c r="K317" s="21" t="str">
        <f t="shared" si="13"/>
        <v/>
      </c>
      <c r="L317" s="21" t="str">
        <f t="shared" si="3"/>
        <v/>
      </c>
      <c r="M317" s="21" t="str">
        <f t="array" ref="M317">IF(H317="","",SUMif(year(N$2:BO$2),M$2,N317:BO317))</f>
        <v/>
      </c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</row>
    <row r="318">
      <c r="A318" s="16" t="str">
        <f t="shared" si="14"/>
        <v/>
      </c>
      <c r="B318" s="16" t="str">
        <f t="shared" si="15"/>
        <v/>
      </c>
      <c r="C318" s="35" t="str">
        <f t="shared" si="16"/>
        <v/>
      </c>
      <c r="D318" s="35" t="str">
        <f t="shared" si="17"/>
        <v/>
      </c>
      <c r="E318" s="35" t="str">
        <f t="shared" si="18"/>
        <v/>
      </c>
      <c r="F318" s="35" t="str">
        <f t="shared" si="19"/>
        <v/>
      </c>
      <c r="G318" s="35" t="str">
        <f t="shared" si="20"/>
        <v/>
      </c>
      <c r="H318" s="25"/>
      <c r="I318" s="47" t="str">
        <f t="shared" si="21"/>
        <v/>
      </c>
      <c r="J318" s="48"/>
      <c r="K318" s="21" t="str">
        <f t="shared" si="13"/>
        <v/>
      </c>
      <c r="L318" s="21" t="str">
        <f t="shared" si="3"/>
        <v/>
      </c>
      <c r="M318" s="21" t="str">
        <f t="array" ref="M318">IF(H318="","",SUMif(year(N$2:BO$2),M$2,N318:BO318))</f>
        <v/>
      </c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</row>
    <row r="319">
      <c r="A319" s="16" t="str">
        <f t="shared" si="14"/>
        <v/>
      </c>
      <c r="B319" s="16" t="str">
        <f t="shared" si="15"/>
        <v/>
      </c>
      <c r="C319" s="35" t="str">
        <f t="shared" si="16"/>
        <v/>
      </c>
      <c r="D319" s="35" t="str">
        <f t="shared" si="17"/>
        <v/>
      </c>
      <c r="E319" s="35" t="str">
        <f t="shared" si="18"/>
        <v/>
      </c>
      <c r="F319" s="35" t="str">
        <f t="shared" si="19"/>
        <v/>
      </c>
      <c r="G319" s="35" t="str">
        <f t="shared" si="20"/>
        <v/>
      </c>
      <c r="H319" s="25"/>
      <c r="I319" s="47" t="str">
        <f t="shared" si="21"/>
        <v/>
      </c>
      <c r="J319" s="48"/>
      <c r="K319" s="21" t="str">
        <f t="shared" si="13"/>
        <v/>
      </c>
      <c r="L319" s="21" t="str">
        <f t="shared" si="3"/>
        <v/>
      </c>
      <c r="M319" s="21" t="str">
        <f t="array" ref="M319">IF(H319="","",SUMif(year(N$2:BO$2),M$2,N319:BO319))</f>
        <v/>
      </c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</row>
    <row r="320">
      <c r="A320" s="16" t="str">
        <f t="shared" si="14"/>
        <v/>
      </c>
      <c r="B320" s="16" t="str">
        <f t="shared" si="15"/>
        <v/>
      </c>
      <c r="C320" s="35" t="str">
        <f t="shared" si="16"/>
        <v/>
      </c>
      <c r="D320" s="35" t="str">
        <f t="shared" si="17"/>
        <v/>
      </c>
      <c r="E320" s="35" t="str">
        <f t="shared" si="18"/>
        <v/>
      </c>
      <c r="F320" s="35" t="str">
        <f t="shared" si="19"/>
        <v/>
      </c>
      <c r="G320" s="35" t="str">
        <f t="shared" si="20"/>
        <v/>
      </c>
      <c r="H320" s="25"/>
      <c r="I320" s="47" t="str">
        <f t="shared" si="21"/>
        <v/>
      </c>
      <c r="J320" s="48"/>
      <c r="K320" s="21" t="str">
        <f t="shared" si="13"/>
        <v/>
      </c>
      <c r="L320" s="21" t="str">
        <f t="shared" si="3"/>
        <v/>
      </c>
      <c r="M320" s="21" t="str">
        <f t="array" ref="M320">IF(H320="","",SUMif(year(N$2:BO$2),M$2,N320:BO320))</f>
        <v/>
      </c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</row>
    <row r="321">
      <c r="A321" s="16" t="str">
        <f t="shared" si="14"/>
        <v/>
      </c>
      <c r="B321" s="16" t="str">
        <f t="shared" si="15"/>
        <v/>
      </c>
      <c r="C321" s="35" t="str">
        <f t="shared" si="16"/>
        <v/>
      </c>
      <c r="D321" s="35" t="str">
        <f t="shared" si="17"/>
        <v/>
      </c>
      <c r="E321" s="35" t="str">
        <f t="shared" si="18"/>
        <v/>
      </c>
      <c r="F321" s="35" t="str">
        <f t="shared" si="19"/>
        <v/>
      </c>
      <c r="G321" s="35" t="str">
        <f t="shared" si="20"/>
        <v/>
      </c>
      <c r="H321" s="25"/>
      <c r="I321" s="47" t="str">
        <f t="shared" si="21"/>
        <v/>
      </c>
      <c r="J321" s="48"/>
      <c r="K321" s="21" t="str">
        <f t="shared" si="13"/>
        <v/>
      </c>
      <c r="L321" s="21" t="str">
        <f t="shared" si="3"/>
        <v/>
      </c>
      <c r="M321" s="21" t="str">
        <f t="array" ref="M321">IF(H321="","",SUMif(year(N$2:BO$2),M$2,N321:BO321))</f>
        <v/>
      </c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</row>
    <row r="322">
      <c r="A322" s="16" t="str">
        <f t="shared" si="14"/>
        <v/>
      </c>
      <c r="B322" s="16" t="str">
        <f t="shared" si="15"/>
        <v/>
      </c>
      <c r="C322" s="35" t="str">
        <f t="shared" si="16"/>
        <v/>
      </c>
      <c r="D322" s="35" t="str">
        <f t="shared" si="17"/>
        <v/>
      </c>
      <c r="E322" s="35" t="str">
        <f t="shared" si="18"/>
        <v/>
      </c>
      <c r="F322" s="35" t="str">
        <f t="shared" si="19"/>
        <v/>
      </c>
      <c r="G322" s="35" t="str">
        <f t="shared" si="20"/>
        <v/>
      </c>
      <c r="H322" s="25"/>
      <c r="I322" s="47" t="str">
        <f t="shared" si="21"/>
        <v/>
      </c>
      <c r="J322" s="48"/>
      <c r="K322" s="21" t="str">
        <f t="shared" si="13"/>
        <v/>
      </c>
      <c r="L322" s="21" t="str">
        <f t="shared" si="3"/>
        <v/>
      </c>
      <c r="M322" s="21" t="str">
        <f t="array" ref="M322">IF(H322="","",SUMif(year(N$2:BO$2),M$2,N322:BO322))</f>
        <v/>
      </c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</row>
    <row r="323">
      <c r="A323" s="16" t="str">
        <f t="shared" si="14"/>
        <v/>
      </c>
      <c r="B323" s="16" t="str">
        <f t="shared" si="15"/>
        <v/>
      </c>
      <c r="C323" s="35" t="str">
        <f t="shared" si="16"/>
        <v/>
      </c>
      <c r="D323" s="35" t="str">
        <f t="shared" si="17"/>
        <v/>
      </c>
      <c r="E323" s="35" t="str">
        <f t="shared" si="18"/>
        <v/>
      </c>
      <c r="F323" s="35" t="str">
        <f t="shared" si="19"/>
        <v/>
      </c>
      <c r="G323" s="35" t="str">
        <f t="shared" si="20"/>
        <v/>
      </c>
      <c r="H323" s="25"/>
      <c r="I323" s="47" t="str">
        <f t="shared" si="21"/>
        <v/>
      </c>
      <c r="J323" s="48"/>
      <c r="K323" s="21" t="str">
        <f t="shared" si="13"/>
        <v/>
      </c>
      <c r="L323" s="21" t="str">
        <f t="shared" si="3"/>
        <v/>
      </c>
      <c r="M323" s="21" t="str">
        <f t="array" ref="M323">IF(H323="","",SUMif(year(N$2:BO$2),M$2,N323:BO323))</f>
        <v/>
      </c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</row>
    <row r="324">
      <c r="A324" s="16" t="str">
        <f t="shared" si="14"/>
        <v/>
      </c>
      <c r="B324" s="16" t="str">
        <f t="shared" si="15"/>
        <v/>
      </c>
      <c r="C324" s="35" t="str">
        <f t="shared" si="16"/>
        <v/>
      </c>
      <c r="D324" s="35" t="str">
        <f t="shared" si="17"/>
        <v/>
      </c>
      <c r="E324" s="35" t="str">
        <f t="shared" si="18"/>
        <v/>
      </c>
      <c r="F324" s="35" t="str">
        <f t="shared" si="19"/>
        <v/>
      </c>
      <c r="G324" s="35" t="str">
        <f t="shared" si="20"/>
        <v/>
      </c>
      <c r="H324" s="25"/>
      <c r="I324" s="47" t="str">
        <f t="shared" si="21"/>
        <v/>
      </c>
      <c r="J324" s="48"/>
      <c r="K324" s="21" t="str">
        <f t="shared" si="13"/>
        <v/>
      </c>
      <c r="L324" s="21" t="str">
        <f t="shared" si="3"/>
        <v/>
      </c>
      <c r="M324" s="21" t="str">
        <f t="array" ref="M324">IF(H324="","",SUMif(year(N$2:BO$2),M$2,N324:BO324))</f>
        <v/>
      </c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</row>
    <row r="325">
      <c r="A325" s="16" t="str">
        <f t="shared" si="14"/>
        <v/>
      </c>
      <c r="B325" s="16" t="str">
        <f t="shared" si="15"/>
        <v/>
      </c>
      <c r="C325" s="35" t="str">
        <f t="shared" si="16"/>
        <v/>
      </c>
      <c r="D325" s="35" t="str">
        <f t="shared" si="17"/>
        <v/>
      </c>
      <c r="E325" s="35" t="str">
        <f t="shared" si="18"/>
        <v/>
      </c>
      <c r="F325" s="35" t="str">
        <f t="shared" si="19"/>
        <v/>
      </c>
      <c r="G325" s="35" t="str">
        <f t="shared" si="20"/>
        <v/>
      </c>
      <c r="H325" s="25"/>
      <c r="I325" s="47" t="str">
        <f t="shared" si="21"/>
        <v/>
      </c>
      <c r="J325" s="48"/>
      <c r="K325" s="21" t="str">
        <f t="shared" si="13"/>
        <v/>
      </c>
      <c r="L325" s="21" t="str">
        <f t="shared" si="3"/>
        <v/>
      </c>
      <c r="M325" s="21" t="str">
        <f t="array" ref="M325">IF(H325="","",SUMif(year(N$2:BO$2),M$2,N325:BO325))</f>
        <v/>
      </c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</row>
    <row r="326">
      <c r="A326" s="16" t="str">
        <f t="shared" si="14"/>
        <v/>
      </c>
      <c r="B326" s="16" t="str">
        <f t="shared" si="15"/>
        <v/>
      </c>
      <c r="C326" s="35" t="str">
        <f t="shared" si="16"/>
        <v/>
      </c>
      <c r="D326" s="35" t="str">
        <f t="shared" si="17"/>
        <v/>
      </c>
      <c r="E326" s="35" t="str">
        <f t="shared" si="18"/>
        <v/>
      </c>
      <c r="F326" s="35" t="str">
        <f t="shared" si="19"/>
        <v/>
      </c>
      <c r="G326" s="35" t="str">
        <f t="shared" si="20"/>
        <v/>
      </c>
      <c r="H326" s="25"/>
      <c r="I326" s="47" t="str">
        <f t="shared" si="21"/>
        <v/>
      </c>
      <c r="J326" s="48"/>
      <c r="K326" s="21" t="str">
        <f t="shared" si="13"/>
        <v/>
      </c>
      <c r="L326" s="21" t="str">
        <f t="shared" si="3"/>
        <v/>
      </c>
      <c r="M326" s="21" t="str">
        <f t="array" ref="M326">IF(H326="","",SUMif(year(N$2:BO$2),M$2,N326:BO326))</f>
        <v/>
      </c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</row>
    <row r="327">
      <c r="A327" s="16" t="str">
        <f t="shared" si="14"/>
        <v/>
      </c>
      <c r="B327" s="16" t="str">
        <f t="shared" si="15"/>
        <v/>
      </c>
      <c r="C327" s="35" t="str">
        <f t="shared" si="16"/>
        <v/>
      </c>
      <c r="D327" s="35" t="str">
        <f t="shared" si="17"/>
        <v/>
      </c>
      <c r="E327" s="35" t="str">
        <f t="shared" si="18"/>
        <v/>
      </c>
      <c r="F327" s="35" t="str">
        <f t="shared" si="19"/>
        <v/>
      </c>
      <c r="G327" s="35" t="str">
        <f t="shared" si="20"/>
        <v/>
      </c>
      <c r="H327" s="25"/>
      <c r="I327" s="47" t="str">
        <f t="shared" si="21"/>
        <v/>
      </c>
      <c r="J327" s="48"/>
      <c r="K327" s="21" t="str">
        <f t="shared" si="13"/>
        <v/>
      </c>
      <c r="L327" s="21" t="str">
        <f t="shared" si="3"/>
        <v/>
      </c>
      <c r="M327" s="21" t="str">
        <f t="array" ref="M327">IF(H327="","",SUMif(year(N$2:BO$2),M$2,N327:BO327))</f>
        <v/>
      </c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</row>
    <row r="328">
      <c r="A328" s="16" t="str">
        <f t="shared" si="14"/>
        <v/>
      </c>
      <c r="B328" s="16" t="str">
        <f t="shared" si="15"/>
        <v/>
      </c>
      <c r="C328" s="35" t="str">
        <f t="shared" si="16"/>
        <v/>
      </c>
      <c r="D328" s="35" t="str">
        <f t="shared" si="17"/>
        <v/>
      </c>
      <c r="E328" s="35" t="str">
        <f t="shared" si="18"/>
        <v/>
      </c>
      <c r="F328" s="35" t="str">
        <f t="shared" si="19"/>
        <v/>
      </c>
      <c r="G328" s="35" t="str">
        <f t="shared" si="20"/>
        <v/>
      </c>
      <c r="H328" s="25"/>
      <c r="I328" s="47" t="str">
        <f t="shared" si="21"/>
        <v/>
      </c>
      <c r="J328" s="48"/>
      <c r="K328" s="21" t="str">
        <f t="shared" si="13"/>
        <v/>
      </c>
      <c r="L328" s="21" t="str">
        <f t="shared" si="3"/>
        <v/>
      </c>
      <c r="M328" s="21" t="str">
        <f t="array" ref="M328">IF(H328="","",SUMif(year(N$2:BO$2),M$2,N328:BO328))</f>
        <v/>
      </c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</row>
    <row r="329">
      <c r="A329" s="16" t="str">
        <f t="shared" si="14"/>
        <v/>
      </c>
      <c r="B329" s="16" t="str">
        <f t="shared" si="15"/>
        <v/>
      </c>
      <c r="C329" s="35" t="str">
        <f t="shared" si="16"/>
        <v/>
      </c>
      <c r="D329" s="35" t="str">
        <f t="shared" si="17"/>
        <v/>
      </c>
      <c r="E329" s="35" t="str">
        <f t="shared" si="18"/>
        <v/>
      </c>
      <c r="F329" s="35" t="str">
        <f t="shared" si="19"/>
        <v/>
      </c>
      <c r="G329" s="35" t="str">
        <f t="shared" si="20"/>
        <v/>
      </c>
      <c r="H329" s="25"/>
      <c r="I329" s="47" t="str">
        <f t="shared" si="21"/>
        <v/>
      </c>
      <c r="J329" s="48"/>
      <c r="K329" s="21" t="str">
        <f t="shared" si="13"/>
        <v/>
      </c>
      <c r="L329" s="21" t="str">
        <f t="shared" si="3"/>
        <v/>
      </c>
      <c r="M329" s="21" t="str">
        <f t="array" ref="M329">IF(H329="","",SUMif(year(N$2:BO$2),M$2,N329:BO329))</f>
        <v/>
      </c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</row>
    <row r="330">
      <c r="A330" s="16" t="str">
        <f t="shared" si="14"/>
        <v/>
      </c>
      <c r="B330" s="16" t="str">
        <f t="shared" si="15"/>
        <v/>
      </c>
      <c r="C330" s="35" t="str">
        <f t="shared" si="16"/>
        <v/>
      </c>
      <c r="D330" s="35" t="str">
        <f t="shared" si="17"/>
        <v/>
      </c>
      <c r="E330" s="35" t="str">
        <f t="shared" si="18"/>
        <v/>
      </c>
      <c r="F330" s="35" t="str">
        <f t="shared" si="19"/>
        <v/>
      </c>
      <c r="G330" s="35" t="str">
        <f t="shared" si="20"/>
        <v/>
      </c>
      <c r="H330" s="25"/>
      <c r="I330" s="47" t="str">
        <f t="shared" si="21"/>
        <v/>
      </c>
      <c r="J330" s="48"/>
      <c r="K330" s="21" t="str">
        <f t="shared" si="13"/>
        <v/>
      </c>
      <c r="L330" s="21" t="str">
        <f t="shared" si="3"/>
        <v/>
      </c>
      <c r="M330" s="21" t="str">
        <f t="array" ref="M330">IF(H330="","",SUMif(year(N$2:BO$2),M$2,N330:BO330))</f>
        <v/>
      </c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</row>
    <row r="331">
      <c r="A331" s="16" t="str">
        <f t="shared" si="14"/>
        <v/>
      </c>
      <c r="B331" s="16" t="str">
        <f t="shared" si="15"/>
        <v/>
      </c>
      <c r="C331" s="35" t="str">
        <f t="shared" si="16"/>
        <v/>
      </c>
      <c r="D331" s="35" t="str">
        <f t="shared" si="17"/>
        <v/>
      </c>
      <c r="E331" s="35" t="str">
        <f t="shared" si="18"/>
        <v/>
      </c>
      <c r="F331" s="35" t="str">
        <f t="shared" si="19"/>
        <v/>
      </c>
      <c r="G331" s="35" t="str">
        <f t="shared" si="20"/>
        <v/>
      </c>
      <c r="H331" s="25"/>
      <c r="I331" s="47" t="str">
        <f t="shared" si="21"/>
        <v/>
      </c>
      <c r="J331" s="48"/>
      <c r="K331" s="21" t="str">
        <f t="shared" si="13"/>
        <v/>
      </c>
      <c r="L331" s="21" t="str">
        <f t="shared" si="3"/>
        <v/>
      </c>
      <c r="M331" s="21" t="str">
        <f t="array" ref="M331">IF(H331="","",SUMif(year(N$2:BO$2),M$2,N331:BO331))</f>
        <v/>
      </c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</row>
    <row r="332">
      <c r="A332" s="16" t="str">
        <f t="shared" si="14"/>
        <v/>
      </c>
      <c r="B332" s="16" t="str">
        <f t="shared" si="15"/>
        <v/>
      </c>
      <c r="C332" s="35" t="str">
        <f t="shared" si="16"/>
        <v/>
      </c>
      <c r="D332" s="35" t="str">
        <f t="shared" si="17"/>
        <v/>
      </c>
      <c r="E332" s="35" t="str">
        <f t="shared" si="18"/>
        <v/>
      </c>
      <c r="F332" s="35" t="str">
        <f t="shared" si="19"/>
        <v/>
      </c>
      <c r="G332" s="35" t="str">
        <f t="shared" si="20"/>
        <v/>
      </c>
      <c r="H332" s="25"/>
      <c r="I332" s="47" t="str">
        <f t="shared" si="21"/>
        <v/>
      </c>
      <c r="J332" s="48"/>
      <c r="K332" s="21" t="str">
        <f t="shared" si="13"/>
        <v/>
      </c>
      <c r="L332" s="21" t="str">
        <f t="shared" si="3"/>
        <v/>
      </c>
      <c r="M332" s="21" t="str">
        <f t="array" ref="M332">IF(H332="","",SUMif(year(N$2:BO$2),M$2,N332:BO332))</f>
        <v/>
      </c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</row>
    <row r="333">
      <c r="A333" s="16" t="str">
        <f t="shared" si="14"/>
        <v/>
      </c>
      <c r="B333" s="16" t="str">
        <f t="shared" si="15"/>
        <v/>
      </c>
      <c r="C333" s="35" t="str">
        <f t="shared" si="16"/>
        <v/>
      </c>
      <c r="D333" s="35" t="str">
        <f t="shared" si="17"/>
        <v/>
      </c>
      <c r="E333" s="35" t="str">
        <f t="shared" si="18"/>
        <v/>
      </c>
      <c r="F333" s="35" t="str">
        <f t="shared" si="19"/>
        <v/>
      </c>
      <c r="G333" s="35" t="str">
        <f t="shared" si="20"/>
        <v/>
      </c>
      <c r="H333" s="25"/>
      <c r="I333" s="47" t="str">
        <f t="shared" si="21"/>
        <v/>
      </c>
      <c r="J333" s="48"/>
      <c r="K333" s="21" t="str">
        <f t="shared" si="13"/>
        <v/>
      </c>
      <c r="L333" s="21" t="str">
        <f t="shared" si="3"/>
        <v/>
      </c>
      <c r="M333" s="21" t="str">
        <f t="array" ref="M333">IF(H333="","",SUMif(year(N$2:BO$2),M$2,N333:BO333))</f>
        <v/>
      </c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</row>
    <row r="334">
      <c r="A334" s="16" t="str">
        <f t="shared" si="14"/>
        <v/>
      </c>
      <c r="B334" s="16" t="str">
        <f t="shared" si="15"/>
        <v/>
      </c>
      <c r="C334" s="35" t="str">
        <f t="shared" si="16"/>
        <v/>
      </c>
      <c r="D334" s="35" t="str">
        <f t="shared" si="17"/>
        <v/>
      </c>
      <c r="E334" s="35" t="str">
        <f t="shared" si="18"/>
        <v/>
      </c>
      <c r="F334" s="35" t="str">
        <f t="shared" si="19"/>
        <v/>
      </c>
      <c r="G334" s="35" t="str">
        <f t="shared" si="20"/>
        <v/>
      </c>
      <c r="H334" s="25"/>
      <c r="I334" s="47" t="str">
        <f t="shared" si="21"/>
        <v/>
      </c>
      <c r="J334" s="48"/>
      <c r="K334" s="21" t="str">
        <f t="shared" si="13"/>
        <v/>
      </c>
      <c r="L334" s="21" t="str">
        <f t="shared" si="3"/>
        <v/>
      </c>
      <c r="M334" s="21" t="str">
        <f t="array" ref="M334">IF(H334="","",SUMif(year(N$2:BO$2),M$2,N334:BO334))</f>
        <v/>
      </c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</row>
    <row r="335">
      <c r="A335" s="16" t="str">
        <f t="shared" si="14"/>
        <v/>
      </c>
      <c r="B335" s="16" t="str">
        <f t="shared" si="15"/>
        <v/>
      </c>
      <c r="C335" s="35" t="str">
        <f t="shared" si="16"/>
        <v/>
      </c>
      <c r="D335" s="35" t="str">
        <f t="shared" si="17"/>
        <v/>
      </c>
      <c r="E335" s="35" t="str">
        <f t="shared" si="18"/>
        <v/>
      </c>
      <c r="F335" s="35" t="str">
        <f t="shared" si="19"/>
        <v/>
      </c>
      <c r="G335" s="35" t="str">
        <f t="shared" si="20"/>
        <v/>
      </c>
      <c r="H335" s="25"/>
      <c r="I335" s="47" t="str">
        <f t="shared" si="21"/>
        <v/>
      </c>
      <c r="J335" s="48"/>
      <c r="K335" s="21" t="str">
        <f t="shared" si="13"/>
        <v/>
      </c>
      <c r="L335" s="21" t="str">
        <f t="shared" si="3"/>
        <v/>
      </c>
      <c r="M335" s="21" t="str">
        <f t="array" ref="M335">IF(H335="","",SUMif(year(N$2:BO$2),M$2,N335:BO335))</f>
        <v/>
      </c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</row>
    <row r="336">
      <c r="A336" s="16" t="str">
        <f t="shared" si="14"/>
        <v/>
      </c>
      <c r="B336" s="16" t="str">
        <f t="shared" si="15"/>
        <v/>
      </c>
      <c r="C336" s="35" t="str">
        <f t="shared" si="16"/>
        <v/>
      </c>
      <c r="D336" s="35" t="str">
        <f t="shared" si="17"/>
        <v/>
      </c>
      <c r="E336" s="35" t="str">
        <f t="shared" si="18"/>
        <v/>
      </c>
      <c r="F336" s="35" t="str">
        <f t="shared" si="19"/>
        <v/>
      </c>
      <c r="G336" s="35" t="str">
        <f t="shared" si="20"/>
        <v/>
      </c>
      <c r="H336" s="25"/>
      <c r="I336" s="47" t="str">
        <f t="shared" si="21"/>
        <v/>
      </c>
      <c r="J336" s="48"/>
      <c r="K336" s="21" t="str">
        <f t="shared" si="13"/>
        <v/>
      </c>
      <c r="L336" s="21" t="str">
        <f t="shared" si="3"/>
        <v/>
      </c>
      <c r="M336" s="21" t="str">
        <f t="array" ref="M336">IF(H336="","",SUMif(year(N$2:BO$2),M$2,N336:BO336))</f>
        <v/>
      </c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</row>
    <row r="337">
      <c r="A337" s="16" t="str">
        <f t="shared" si="14"/>
        <v/>
      </c>
      <c r="B337" s="16" t="str">
        <f t="shared" si="15"/>
        <v/>
      </c>
      <c r="C337" s="35" t="str">
        <f t="shared" si="16"/>
        <v/>
      </c>
      <c r="D337" s="35" t="str">
        <f t="shared" si="17"/>
        <v/>
      </c>
      <c r="E337" s="35" t="str">
        <f t="shared" si="18"/>
        <v/>
      </c>
      <c r="F337" s="35" t="str">
        <f t="shared" si="19"/>
        <v/>
      </c>
      <c r="G337" s="35" t="str">
        <f t="shared" si="20"/>
        <v/>
      </c>
      <c r="H337" s="25"/>
      <c r="I337" s="47" t="str">
        <f t="shared" si="21"/>
        <v/>
      </c>
      <c r="J337" s="48"/>
      <c r="K337" s="21" t="str">
        <f t="shared" si="13"/>
        <v/>
      </c>
      <c r="L337" s="21" t="str">
        <f t="shared" si="3"/>
        <v/>
      </c>
      <c r="M337" s="21" t="str">
        <f t="array" ref="M337">IF(H337="","",SUMif(year(N$2:BO$2),M$2,N337:BO337))</f>
        <v/>
      </c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</row>
    <row r="338">
      <c r="A338" s="16" t="str">
        <f t="shared" si="14"/>
        <v/>
      </c>
      <c r="B338" s="16" t="str">
        <f t="shared" si="15"/>
        <v/>
      </c>
      <c r="C338" s="35" t="str">
        <f t="shared" si="16"/>
        <v/>
      </c>
      <c r="D338" s="35" t="str">
        <f t="shared" si="17"/>
        <v/>
      </c>
      <c r="E338" s="35" t="str">
        <f t="shared" si="18"/>
        <v/>
      </c>
      <c r="F338" s="35" t="str">
        <f t="shared" si="19"/>
        <v/>
      </c>
      <c r="G338" s="35" t="str">
        <f t="shared" si="20"/>
        <v/>
      </c>
      <c r="H338" s="25"/>
      <c r="I338" s="47" t="str">
        <f t="shared" si="21"/>
        <v/>
      </c>
      <c r="J338" s="48"/>
      <c r="K338" s="21" t="str">
        <f t="shared" si="13"/>
        <v/>
      </c>
      <c r="L338" s="21" t="str">
        <f t="shared" si="3"/>
        <v/>
      </c>
      <c r="M338" s="21" t="str">
        <f t="array" ref="M338">IF(H338="","",SUMif(year(N$2:BO$2),M$2,N338:BO338))</f>
        <v/>
      </c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</row>
    <row r="339">
      <c r="A339" s="16" t="str">
        <f t="shared" si="14"/>
        <v/>
      </c>
      <c r="B339" s="16" t="str">
        <f t="shared" si="15"/>
        <v/>
      </c>
      <c r="C339" s="35" t="str">
        <f t="shared" si="16"/>
        <v/>
      </c>
      <c r="D339" s="35" t="str">
        <f t="shared" si="17"/>
        <v/>
      </c>
      <c r="E339" s="35" t="str">
        <f t="shared" si="18"/>
        <v/>
      </c>
      <c r="F339" s="35" t="str">
        <f t="shared" si="19"/>
        <v/>
      </c>
      <c r="G339" s="35" t="str">
        <f t="shared" si="20"/>
        <v/>
      </c>
      <c r="H339" s="25"/>
      <c r="I339" s="47" t="str">
        <f t="shared" si="21"/>
        <v/>
      </c>
      <c r="J339" s="48"/>
      <c r="K339" s="21" t="str">
        <f t="shared" si="13"/>
        <v/>
      </c>
      <c r="L339" s="21" t="str">
        <f t="shared" si="3"/>
        <v/>
      </c>
      <c r="M339" s="21" t="str">
        <f t="array" ref="M339">IF(H339="","",SUMif(year(N$2:BO$2),M$2,N339:BO339))</f>
        <v/>
      </c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</row>
    <row r="340">
      <c r="A340" s="16" t="str">
        <f t="shared" si="14"/>
        <v/>
      </c>
      <c r="B340" s="16" t="str">
        <f t="shared" si="15"/>
        <v/>
      </c>
      <c r="C340" s="35" t="str">
        <f t="shared" si="16"/>
        <v/>
      </c>
      <c r="D340" s="35" t="str">
        <f t="shared" si="17"/>
        <v/>
      </c>
      <c r="E340" s="35" t="str">
        <f t="shared" si="18"/>
        <v/>
      </c>
      <c r="F340" s="35" t="str">
        <f t="shared" si="19"/>
        <v/>
      </c>
      <c r="G340" s="35" t="str">
        <f t="shared" si="20"/>
        <v/>
      </c>
      <c r="H340" s="25"/>
      <c r="I340" s="47" t="str">
        <f t="shared" si="21"/>
        <v/>
      </c>
      <c r="J340" s="48"/>
      <c r="K340" s="21" t="str">
        <f t="shared" si="13"/>
        <v/>
      </c>
      <c r="L340" s="21" t="str">
        <f t="shared" si="3"/>
        <v/>
      </c>
      <c r="M340" s="21" t="str">
        <f t="array" ref="M340">IF(H340="","",SUMif(year(N$2:BO$2),M$2,N340:BO340))</f>
        <v/>
      </c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</row>
    <row r="341">
      <c r="A341" s="16" t="str">
        <f t="shared" si="14"/>
        <v/>
      </c>
      <c r="B341" s="16" t="str">
        <f t="shared" si="15"/>
        <v/>
      </c>
      <c r="C341" s="35" t="str">
        <f t="shared" si="16"/>
        <v/>
      </c>
      <c r="D341" s="35" t="str">
        <f t="shared" si="17"/>
        <v/>
      </c>
      <c r="E341" s="35" t="str">
        <f t="shared" si="18"/>
        <v/>
      </c>
      <c r="F341" s="35" t="str">
        <f t="shared" si="19"/>
        <v/>
      </c>
      <c r="G341" s="35" t="str">
        <f t="shared" si="20"/>
        <v/>
      </c>
      <c r="H341" s="25"/>
      <c r="I341" s="47" t="str">
        <f t="shared" si="21"/>
        <v/>
      </c>
      <c r="J341" s="48"/>
      <c r="K341" s="21" t="str">
        <f t="shared" si="13"/>
        <v/>
      </c>
      <c r="L341" s="21" t="str">
        <f t="shared" si="3"/>
        <v/>
      </c>
      <c r="M341" s="21" t="str">
        <f t="array" ref="M341">IF(H341="","",SUMif(year(N$2:BO$2),M$2,N341:BO341))</f>
        <v/>
      </c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</row>
    <row r="342">
      <c r="A342" s="16" t="str">
        <f t="shared" si="14"/>
        <v/>
      </c>
      <c r="B342" s="16" t="str">
        <f t="shared" si="15"/>
        <v/>
      </c>
      <c r="C342" s="35" t="str">
        <f t="shared" si="16"/>
        <v/>
      </c>
      <c r="D342" s="35" t="str">
        <f t="shared" si="17"/>
        <v/>
      </c>
      <c r="E342" s="35" t="str">
        <f t="shared" si="18"/>
        <v/>
      </c>
      <c r="F342" s="35" t="str">
        <f t="shared" si="19"/>
        <v/>
      </c>
      <c r="G342" s="35" t="str">
        <f t="shared" si="20"/>
        <v/>
      </c>
      <c r="H342" s="25"/>
      <c r="I342" s="47" t="str">
        <f t="shared" si="21"/>
        <v/>
      </c>
      <c r="J342" s="48"/>
      <c r="K342" s="21" t="str">
        <f t="shared" si="13"/>
        <v/>
      </c>
      <c r="L342" s="21" t="str">
        <f t="shared" si="3"/>
        <v/>
      </c>
      <c r="M342" s="21" t="str">
        <f t="array" ref="M342">IF(H342="","",SUMif(year(N$2:BO$2),M$2,N342:BO342))</f>
        <v/>
      </c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</row>
    <row r="343">
      <c r="A343" s="16" t="str">
        <f t="shared" si="14"/>
        <v/>
      </c>
      <c r="B343" s="16" t="str">
        <f t="shared" si="15"/>
        <v/>
      </c>
      <c r="C343" s="35" t="str">
        <f t="shared" si="16"/>
        <v/>
      </c>
      <c r="D343" s="35" t="str">
        <f t="shared" si="17"/>
        <v/>
      </c>
      <c r="E343" s="35" t="str">
        <f t="shared" si="18"/>
        <v/>
      </c>
      <c r="F343" s="35" t="str">
        <f t="shared" si="19"/>
        <v/>
      </c>
      <c r="G343" s="35" t="str">
        <f t="shared" si="20"/>
        <v/>
      </c>
      <c r="H343" s="25"/>
      <c r="I343" s="47" t="str">
        <f t="shared" si="21"/>
        <v/>
      </c>
      <c r="J343" s="48"/>
      <c r="K343" s="21" t="str">
        <f t="shared" si="13"/>
        <v/>
      </c>
      <c r="L343" s="21" t="str">
        <f t="shared" si="3"/>
        <v/>
      </c>
      <c r="M343" s="21" t="str">
        <f t="array" ref="M343">IF(H343="","",SUMif(year(N$2:BO$2),M$2,N343:BO343))</f>
        <v/>
      </c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</row>
    <row r="344">
      <c r="A344" s="16" t="str">
        <f t="shared" si="14"/>
        <v/>
      </c>
      <c r="B344" s="16" t="str">
        <f t="shared" si="15"/>
        <v/>
      </c>
      <c r="C344" s="35" t="str">
        <f t="shared" si="16"/>
        <v/>
      </c>
      <c r="D344" s="35" t="str">
        <f t="shared" si="17"/>
        <v/>
      </c>
      <c r="E344" s="35" t="str">
        <f t="shared" si="18"/>
        <v/>
      </c>
      <c r="F344" s="35" t="str">
        <f t="shared" si="19"/>
        <v/>
      </c>
      <c r="G344" s="35" t="str">
        <f t="shared" si="20"/>
        <v/>
      </c>
      <c r="H344" s="25"/>
      <c r="I344" s="47" t="str">
        <f t="shared" si="21"/>
        <v/>
      </c>
      <c r="J344" s="48"/>
      <c r="K344" s="21" t="str">
        <f t="shared" si="13"/>
        <v/>
      </c>
      <c r="L344" s="21" t="str">
        <f t="shared" si="3"/>
        <v/>
      </c>
      <c r="M344" s="21" t="str">
        <f t="array" ref="M344">IF(H344="","",SUMif(year(N$2:BO$2),M$2,N344:BO344))</f>
        <v/>
      </c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</row>
    <row r="345">
      <c r="A345" s="16" t="str">
        <f t="shared" si="14"/>
        <v/>
      </c>
      <c r="B345" s="16" t="str">
        <f t="shared" si="15"/>
        <v/>
      </c>
      <c r="C345" s="35" t="str">
        <f t="shared" si="16"/>
        <v/>
      </c>
      <c r="D345" s="35" t="str">
        <f t="shared" si="17"/>
        <v/>
      </c>
      <c r="E345" s="35" t="str">
        <f t="shared" si="18"/>
        <v/>
      </c>
      <c r="F345" s="35" t="str">
        <f t="shared" si="19"/>
        <v/>
      </c>
      <c r="G345" s="35" t="str">
        <f t="shared" si="20"/>
        <v/>
      </c>
      <c r="H345" s="25"/>
      <c r="I345" s="47" t="str">
        <f t="shared" si="21"/>
        <v/>
      </c>
      <c r="J345" s="48"/>
      <c r="K345" s="21" t="str">
        <f t="shared" si="13"/>
        <v/>
      </c>
      <c r="L345" s="21" t="str">
        <f t="shared" si="3"/>
        <v/>
      </c>
      <c r="M345" s="21" t="str">
        <f t="array" ref="M345">IF(H345="","",SUMif(year(N$2:BO$2),M$2,N345:BO345))</f>
        <v/>
      </c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</row>
    <row r="346">
      <c r="A346" s="16" t="str">
        <f t="shared" si="14"/>
        <v/>
      </c>
      <c r="B346" s="16" t="str">
        <f t="shared" si="15"/>
        <v/>
      </c>
      <c r="C346" s="35" t="str">
        <f t="shared" si="16"/>
        <v/>
      </c>
      <c r="D346" s="35" t="str">
        <f t="shared" si="17"/>
        <v/>
      </c>
      <c r="E346" s="35" t="str">
        <f t="shared" si="18"/>
        <v/>
      </c>
      <c r="F346" s="35" t="str">
        <f t="shared" si="19"/>
        <v/>
      </c>
      <c r="G346" s="35" t="str">
        <f t="shared" si="20"/>
        <v/>
      </c>
      <c r="H346" s="25"/>
      <c r="I346" s="47" t="str">
        <f t="shared" si="21"/>
        <v/>
      </c>
      <c r="J346" s="48"/>
      <c r="K346" s="21" t="str">
        <f t="shared" si="13"/>
        <v/>
      </c>
      <c r="L346" s="21" t="str">
        <f t="shared" si="3"/>
        <v/>
      </c>
      <c r="M346" s="21" t="str">
        <f t="array" ref="M346">IF(H346="","",SUMif(year(N$2:BO$2),M$2,N346:BO346))</f>
        <v/>
      </c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</row>
    <row r="347">
      <c r="A347" s="16" t="str">
        <f t="shared" si="14"/>
        <v/>
      </c>
      <c r="B347" s="16" t="str">
        <f t="shared" si="15"/>
        <v/>
      </c>
      <c r="C347" s="35" t="str">
        <f t="shared" si="16"/>
        <v/>
      </c>
      <c r="D347" s="35" t="str">
        <f t="shared" si="17"/>
        <v/>
      </c>
      <c r="E347" s="35" t="str">
        <f t="shared" si="18"/>
        <v/>
      </c>
      <c r="F347" s="35" t="str">
        <f t="shared" si="19"/>
        <v/>
      </c>
      <c r="G347" s="35" t="str">
        <f t="shared" si="20"/>
        <v/>
      </c>
      <c r="H347" s="25"/>
      <c r="I347" s="47" t="str">
        <f t="shared" si="21"/>
        <v/>
      </c>
      <c r="J347" s="48"/>
      <c r="K347" s="21" t="str">
        <f t="shared" si="13"/>
        <v/>
      </c>
      <c r="L347" s="21" t="str">
        <f t="shared" si="3"/>
        <v/>
      </c>
      <c r="M347" s="21" t="str">
        <f t="array" ref="M347">IF(H347="","",SUMif(year(N$2:BO$2),M$2,N347:BO347))</f>
        <v/>
      </c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</row>
    <row r="348">
      <c r="A348" s="16" t="str">
        <f t="shared" si="14"/>
        <v/>
      </c>
      <c r="B348" s="16" t="str">
        <f t="shared" si="15"/>
        <v/>
      </c>
      <c r="C348" s="35" t="str">
        <f t="shared" si="16"/>
        <v/>
      </c>
      <c r="D348" s="35" t="str">
        <f t="shared" si="17"/>
        <v/>
      </c>
      <c r="E348" s="35" t="str">
        <f t="shared" si="18"/>
        <v/>
      </c>
      <c r="F348" s="35" t="str">
        <f t="shared" si="19"/>
        <v/>
      </c>
      <c r="G348" s="35" t="str">
        <f t="shared" si="20"/>
        <v/>
      </c>
      <c r="H348" s="25"/>
      <c r="I348" s="47" t="str">
        <f t="shared" si="21"/>
        <v/>
      </c>
      <c r="J348" s="48"/>
      <c r="K348" s="21" t="str">
        <f t="shared" si="13"/>
        <v/>
      </c>
      <c r="L348" s="21" t="str">
        <f t="shared" si="3"/>
        <v/>
      </c>
      <c r="M348" s="21" t="str">
        <f t="array" ref="M348">IF(H348="","",SUMif(year(N$2:BO$2),M$2,N348:BO348))</f>
        <v/>
      </c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</row>
    <row r="349">
      <c r="A349" s="16" t="str">
        <f t="shared" si="14"/>
        <v/>
      </c>
      <c r="B349" s="16" t="str">
        <f t="shared" si="15"/>
        <v/>
      </c>
      <c r="C349" s="35" t="str">
        <f t="shared" si="16"/>
        <v/>
      </c>
      <c r="D349" s="35" t="str">
        <f t="shared" si="17"/>
        <v/>
      </c>
      <c r="E349" s="35" t="str">
        <f t="shared" si="18"/>
        <v/>
      </c>
      <c r="F349" s="35" t="str">
        <f t="shared" si="19"/>
        <v/>
      </c>
      <c r="G349" s="35" t="str">
        <f t="shared" si="20"/>
        <v/>
      </c>
      <c r="H349" s="25"/>
      <c r="I349" s="47" t="str">
        <f t="shared" si="21"/>
        <v/>
      </c>
      <c r="J349" s="48"/>
      <c r="K349" s="21" t="str">
        <f t="shared" si="13"/>
        <v/>
      </c>
      <c r="L349" s="21" t="str">
        <f t="shared" si="3"/>
        <v/>
      </c>
      <c r="M349" s="21" t="str">
        <f t="array" ref="M349">IF(H349="","",SUMif(year(N$2:BO$2),M$2,N349:BO349))</f>
        <v/>
      </c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</row>
    <row r="350">
      <c r="A350" s="16" t="str">
        <f t="shared" si="14"/>
        <v/>
      </c>
      <c r="B350" s="16" t="str">
        <f t="shared" si="15"/>
        <v/>
      </c>
      <c r="C350" s="35" t="str">
        <f t="shared" si="16"/>
        <v/>
      </c>
      <c r="D350" s="35" t="str">
        <f t="shared" si="17"/>
        <v/>
      </c>
      <c r="E350" s="35" t="str">
        <f t="shared" si="18"/>
        <v/>
      </c>
      <c r="F350" s="35" t="str">
        <f t="shared" si="19"/>
        <v/>
      </c>
      <c r="G350" s="35" t="str">
        <f t="shared" si="20"/>
        <v/>
      </c>
      <c r="H350" s="25"/>
      <c r="I350" s="47" t="str">
        <f t="shared" si="21"/>
        <v/>
      </c>
      <c r="J350" s="48"/>
      <c r="K350" s="21" t="str">
        <f t="shared" si="13"/>
        <v/>
      </c>
      <c r="L350" s="21" t="str">
        <f t="shared" si="3"/>
        <v/>
      </c>
      <c r="M350" s="21" t="str">
        <f t="array" ref="M350">IF(H350="","",SUMif(year(N$2:BO$2),M$2,N350:BO350))</f>
        <v/>
      </c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</row>
    <row r="351">
      <c r="A351" s="16" t="str">
        <f t="shared" si="14"/>
        <v/>
      </c>
      <c r="B351" s="16" t="str">
        <f t="shared" si="15"/>
        <v/>
      </c>
      <c r="C351" s="35" t="str">
        <f t="shared" si="16"/>
        <v/>
      </c>
      <c r="D351" s="35" t="str">
        <f t="shared" si="17"/>
        <v/>
      </c>
      <c r="E351" s="35" t="str">
        <f t="shared" si="18"/>
        <v/>
      </c>
      <c r="F351" s="35" t="str">
        <f t="shared" si="19"/>
        <v/>
      </c>
      <c r="G351" s="35" t="str">
        <f t="shared" si="20"/>
        <v/>
      </c>
      <c r="H351" s="25"/>
      <c r="I351" s="47" t="str">
        <f t="shared" si="21"/>
        <v/>
      </c>
      <c r="J351" s="48"/>
      <c r="K351" s="21" t="str">
        <f t="shared" si="13"/>
        <v/>
      </c>
      <c r="L351" s="21" t="str">
        <f t="shared" si="3"/>
        <v/>
      </c>
      <c r="M351" s="21" t="str">
        <f t="array" ref="M351">IF(H351="","",SUMif(year(N$2:BO$2),M$2,N351:BO351))</f>
        <v/>
      </c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</row>
    <row r="352">
      <c r="A352" s="16" t="str">
        <f t="shared" si="14"/>
        <v/>
      </c>
      <c r="B352" s="16" t="str">
        <f t="shared" si="15"/>
        <v/>
      </c>
      <c r="C352" s="35" t="str">
        <f t="shared" si="16"/>
        <v/>
      </c>
      <c r="D352" s="35" t="str">
        <f t="shared" si="17"/>
        <v/>
      </c>
      <c r="E352" s="35" t="str">
        <f t="shared" si="18"/>
        <v/>
      </c>
      <c r="F352" s="35" t="str">
        <f t="shared" si="19"/>
        <v/>
      </c>
      <c r="G352" s="35" t="str">
        <f t="shared" si="20"/>
        <v/>
      </c>
      <c r="H352" s="25"/>
      <c r="I352" s="47" t="str">
        <f t="shared" si="21"/>
        <v/>
      </c>
      <c r="J352" s="48"/>
      <c r="K352" s="21" t="str">
        <f t="shared" si="13"/>
        <v/>
      </c>
      <c r="L352" s="21" t="str">
        <f t="shared" si="3"/>
        <v/>
      </c>
      <c r="M352" s="21" t="str">
        <f t="array" ref="M352">IF(H352="","",SUMif(year(N$2:BO$2),M$2,N352:BO352))</f>
        <v/>
      </c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</row>
    <row r="353">
      <c r="A353" s="16" t="str">
        <f t="shared" si="14"/>
        <v/>
      </c>
      <c r="B353" s="16" t="str">
        <f t="shared" si="15"/>
        <v/>
      </c>
      <c r="C353" s="35" t="str">
        <f t="shared" si="16"/>
        <v/>
      </c>
      <c r="D353" s="35" t="str">
        <f t="shared" si="17"/>
        <v/>
      </c>
      <c r="E353" s="35" t="str">
        <f t="shared" si="18"/>
        <v/>
      </c>
      <c r="F353" s="35" t="str">
        <f t="shared" si="19"/>
        <v/>
      </c>
      <c r="G353" s="35" t="str">
        <f t="shared" si="20"/>
        <v/>
      </c>
      <c r="H353" s="25"/>
      <c r="I353" s="47" t="str">
        <f t="shared" si="21"/>
        <v/>
      </c>
      <c r="J353" s="48"/>
      <c r="K353" s="21" t="str">
        <f t="shared" si="13"/>
        <v/>
      </c>
      <c r="L353" s="21" t="str">
        <f t="shared" si="3"/>
        <v/>
      </c>
      <c r="M353" s="21" t="str">
        <f t="array" ref="M353">IF(H353="","",SUMif(year(N$2:BO$2),M$2,N353:BO353))</f>
        <v/>
      </c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</row>
    <row r="354">
      <c r="A354" s="16" t="str">
        <f t="shared" si="14"/>
        <v/>
      </c>
      <c r="B354" s="16" t="str">
        <f t="shared" si="15"/>
        <v/>
      </c>
      <c r="C354" s="35" t="str">
        <f t="shared" si="16"/>
        <v/>
      </c>
      <c r="D354" s="35" t="str">
        <f t="shared" si="17"/>
        <v/>
      </c>
      <c r="E354" s="35" t="str">
        <f t="shared" si="18"/>
        <v/>
      </c>
      <c r="F354" s="35" t="str">
        <f t="shared" si="19"/>
        <v/>
      </c>
      <c r="G354" s="35" t="str">
        <f t="shared" si="20"/>
        <v/>
      </c>
      <c r="H354" s="25"/>
      <c r="I354" s="47" t="str">
        <f t="shared" si="21"/>
        <v/>
      </c>
      <c r="J354" s="48"/>
      <c r="K354" s="21" t="str">
        <f t="shared" si="13"/>
        <v/>
      </c>
      <c r="L354" s="21" t="str">
        <f t="shared" si="3"/>
        <v/>
      </c>
      <c r="M354" s="21" t="str">
        <f t="array" ref="M354">IF(H354="","",SUMif(year(N$2:BO$2),M$2,N354:BO354))</f>
        <v/>
      </c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</row>
    <row r="355">
      <c r="A355" s="16" t="str">
        <f t="shared" si="14"/>
        <v/>
      </c>
      <c r="B355" s="16" t="str">
        <f t="shared" si="15"/>
        <v/>
      </c>
      <c r="C355" s="35" t="str">
        <f t="shared" si="16"/>
        <v/>
      </c>
      <c r="D355" s="35" t="str">
        <f t="shared" si="17"/>
        <v/>
      </c>
      <c r="E355" s="35" t="str">
        <f t="shared" si="18"/>
        <v/>
      </c>
      <c r="F355" s="35" t="str">
        <f t="shared" si="19"/>
        <v/>
      </c>
      <c r="G355" s="35" t="str">
        <f t="shared" si="20"/>
        <v/>
      </c>
      <c r="H355" s="25"/>
      <c r="I355" s="47" t="str">
        <f t="shared" si="21"/>
        <v/>
      </c>
      <c r="J355" s="48"/>
      <c r="K355" s="21" t="str">
        <f t="shared" si="13"/>
        <v/>
      </c>
      <c r="L355" s="21" t="str">
        <f t="shared" si="3"/>
        <v/>
      </c>
      <c r="M355" s="21" t="str">
        <f t="array" ref="M355">IF(H355="","",SUMif(year(N$2:BO$2),M$2,N355:BO355))</f>
        <v/>
      </c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</row>
    <row r="356">
      <c r="A356" s="16" t="str">
        <f t="shared" si="14"/>
        <v/>
      </c>
      <c r="B356" s="16" t="str">
        <f t="shared" si="15"/>
        <v/>
      </c>
      <c r="C356" s="35" t="str">
        <f t="shared" si="16"/>
        <v/>
      </c>
      <c r="D356" s="35" t="str">
        <f t="shared" si="17"/>
        <v/>
      </c>
      <c r="E356" s="35" t="str">
        <f t="shared" si="18"/>
        <v/>
      </c>
      <c r="F356" s="35" t="str">
        <f t="shared" si="19"/>
        <v/>
      </c>
      <c r="G356" s="35" t="str">
        <f t="shared" si="20"/>
        <v/>
      </c>
      <c r="H356" s="25"/>
      <c r="I356" s="47" t="str">
        <f t="shared" si="21"/>
        <v/>
      </c>
      <c r="J356" s="48"/>
      <c r="K356" s="21" t="str">
        <f t="shared" si="13"/>
        <v/>
      </c>
      <c r="L356" s="21" t="str">
        <f t="shared" si="3"/>
        <v/>
      </c>
      <c r="M356" s="21" t="str">
        <f t="array" ref="M356">IF(H356="","",SUMif(year(N$2:BO$2),M$2,N356:BO356))</f>
        <v/>
      </c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</row>
    <row r="357">
      <c r="A357" s="16" t="str">
        <f t="shared" si="14"/>
        <v/>
      </c>
      <c r="B357" s="16" t="str">
        <f t="shared" si="15"/>
        <v/>
      </c>
      <c r="C357" s="35" t="str">
        <f t="shared" si="16"/>
        <v/>
      </c>
      <c r="D357" s="35" t="str">
        <f t="shared" si="17"/>
        <v/>
      </c>
      <c r="E357" s="35" t="str">
        <f t="shared" si="18"/>
        <v/>
      </c>
      <c r="F357" s="35" t="str">
        <f t="shared" si="19"/>
        <v/>
      </c>
      <c r="G357" s="35" t="str">
        <f t="shared" si="20"/>
        <v/>
      </c>
      <c r="H357" s="25"/>
      <c r="I357" s="47" t="str">
        <f t="shared" si="21"/>
        <v/>
      </c>
      <c r="J357" s="48"/>
      <c r="K357" s="21" t="str">
        <f t="shared" si="13"/>
        <v/>
      </c>
      <c r="L357" s="21" t="str">
        <f t="shared" si="3"/>
        <v/>
      </c>
      <c r="M357" s="21" t="str">
        <f t="array" ref="M357">IF(H357="","",SUMif(year(N$2:BO$2),M$2,N357:BO357))</f>
        <v/>
      </c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</row>
    <row r="358">
      <c r="A358" s="16" t="str">
        <f t="shared" si="14"/>
        <v/>
      </c>
      <c r="B358" s="16" t="str">
        <f t="shared" si="15"/>
        <v/>
      </c>
      <c r="C358" s="35" t="str">
        <f t="shared" si="16"/>
        <v/>
      </c>
      <c r="D358" s="35" t="str">
        <f t="shared" si="17"/>
        <v/>
      </c>
      <c r="E358" s="35" t="str">
        <f t="shared" si="18"/>
        <v/>
      </c>
      <c r="F358" s="35" t="str">
        <f t="shared" si="19"/>
        <v/>
      </c>
      <c r="G358" s="35" t="str">
        <f t="shared" si="20"/>
        <v/>
      </c>
      <c r="H358" s="25"/>
      <c r="I358" s="47" t="str">
        <f t="shared" si="21"/>
        <v/>
      </c>
      <c r="J358" s="48"/>
      <c r="K358" s="21" t="str">
        <f t="shared" si="13"/>
        <v/>
      </c>
      <c r="L358" s="21" t="str">
        <f t="shared" si="3"/>
        <v/>
      </c>
      <c r="M358" s="21" t="str">
        <f t="array" ref="M358">IF(H358="","",SUMif(year(N$2:BO$2),M$2,N358:BO358))</f>
        <v/>
      </c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</row>
    <row r="359">
      <c r="A359" s="16" t="str">
        <f t="shared" si="14"/>
        <v/>
      </c>
      <c r="B359" s="16" t="str">
        <f t="shared" si="15"/>
        <v/>
      </c>
      <c r="C359" s="35" t="str">
        <f t="shared" si="16"/>
        <v/>
      </c>
      <c r="D359" s="35" t="str">
        <f t="shared" si="17"/>
        <v/>
      </c>
      <c r="E359" s="35" t="str">
        <f t="shared" si="18"/>
        <v/>
      </c>
      <c r="F359" s="35" t="str">
        <f t="shared" si="19"/>
        <v/>
      </c>
      <c r="G359" s="35" t="str">
        <f t="shared" si="20"/>
        <v/>
      </c>
      <c r="H359" s="25"/>
      <c r="I359" s="47" t="str">
        <f t="shared" si="21"/>
        <v/>
      </c>
      <c r="J359" s="48"/>
      <c r="K359" s="21" t="str">
        <f t="shared" si="13"/>
        <v/>
      </c>
      <c r="L359" s="21" t="str">
        <f t="shared" si="3"/>
        <v/>
      </c>
      <c r="M359" s="21" t="str">
        <f t="array" ref="M359">IF(H359="","",SUMif(year(N$2:BO$2),M$2,N359:BO359))</f>
        <v/>
      </c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</row>
    <row r="360">
      <c r="A360" s="16" t="str">
        <f t="shared" si="14"/>
        <v/>
      </c>
      <c r="B360" s="16" t="str">
        <f t="shared" si="15"/>
        <v/>
      </c>
      <c r="C360" s="35" t="str">
        <f t="shared" si="16"/>
        <v/>
      </c>
      <c r="D360" s="35" t="str">
        <f t="shared" si="17"/>
        <v/>
      </c>
      <c r="E360" s="35" t="str">
        <f t="shared" si="18"/>
        <v/>
      </c>
      <c r="F360" s="35" t="str">
        <f t="shared" si="19"/>
        <v/>
      </c>
      <c r="G360" s="35" t="str">
        <f t="shared" si="20"/>
        <v/>
      </c>
      <c r="H360" s="25"/>
      <c r="I360" s="47" t="str">
        <f t="shared" si="21"/>
        <v/>
      </c>
      <c r="J360" s="48"/>
      <c r="K360" s="21" t="str">
        <f t="shared" si="13"/>
        <v/>
      </c>
      <c r="L360" s="21" t="str">
        <f t="shared" si="3"/>
        <v/>
      </c>
      <c r="M360" s="21" t="str">
        <f t="array" ref="M360">IF(H360="","",SUMif(year(N$2:BO$2),M$2,N360:BO360))</f>
        <v/>
      </c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</row>
    <row r="361">
      <c r="A361" s="16" t="str">
        <f t="shared" si="14"/>
        <v/>
      </c>
      <c r="B361" s="16" t="str">
        <f t="shared" si="15"/>
        <v/>
      </c>
      <c r="C361" s="35" t="str">
        <f t="shared" si="16"/>
        <v/>
      </c>
      <c r="D361" s="35" t="str">
        <f t="shared" si="17"/>
        <v/>
      </c>
      <c r="E361" s="35" t="str">
        <f t="shared" si="18"/>
        <v/>
      </c>
      <c r="F361" s="35" t="str">
        <f t="shared" si="19"/>
        <v/>
      </c>
      <c r="G361" s="35" t="str">
        <f t="shared" si="20"/>
        <v/>
      </c>
      <c r="H361" s="25"/>
      <c r="I361" s="47" t="str">
        <f t="shared" si="21"/>
        <v/>
      </c>
      <c r="J361" s="48"/>
      <c r="K361" s="21" t="str">
        <f t="shared" si="13"/>
        <v/>
      </c>
      <c r="L361" s="21" t="str">
        <f t="shared" si="3"/>
        <v/>
      </c>
      <c r="M361" s="21" t="str">
        <f t="array" ref="M361">IF(H361="","",SUMif(year(N$2:BO$2),M$2,N361:BO361))</f>
        <v/>
      </c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</row>
    <row r="362">
      <c r="A362" s="16" t="str">
        <f t="shared" si="14"/>
        <v/>
      </c>
      <c r="B362" s="16" t="str">
        <f t="shared" si="15"/>
        <v/>
      </c>
      <c r="C362" s="35" t="str">
        <f t="shared" si="16"/>
        <v/>
      </c>
      <c r="D362" s="35" t="str">
        <f t="shared" si="17"/>
        <v/>
      </c>
      <c r="E362" s="35" t="str">
        <f t="shared" si="18"/>
        <v/>
      </c>
      <c r="F362" s="35" t="str">
        <f t="shared" si="19"/>
        <v/>
      </c>
      <c r="G362" s="35" t="str">
        <f t="shared" si="20"/>
        <v/>
      </c>
      <c r="H362" s="25"/>
      <c r="I362" s="47" t="str">
        <f t="shared" si="21"/>
        <v/>
      </c>
      <c r="J362" s="48"/>
      <c r="K362" s="21" t="str">
        <f t="shared" si="13"/>
        <v/>
      </c>
      <c r="L362" s="21" t="str">
        <f t="shared" si="3"/>
        <v/>
      </c>
      <c r="M362" s="21" t="str">
        <f t="array" ref="M362">IF(H362="","",SUMif(year(N$2:BO$2),M$2,N362:BO362))</f>
        <v/>
      </c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</row>
    <row r="363">
      <c r="A363" s="16" t="str">
        <f t="shared" si="14"/>
        <v/>
      </c>
      <c r="B363" s="16" t="str">
        <f t="shared" si="15"/>
        <v/>
      </c>
      <c r="C363" s="35" t="str">
        <f t="shared" si="16"/>
        <v/>
      </c>
      <c r="D363" s="35" t="str">
        <f t="shared" si="17"/>
        <v/>
      </c>
      <c r="E363" s="35" t="str">
        <f t="shared" si="18"/>
        <v/>
      </c>
      <c r="F363" s="35" t="str">
        <f t="shared" si="19"/>
        <v/>
      </c>
      <c r="G363" s="35" t="str">
        <f t="shared" si="20"/>
        <v/>
      </c>
      <c r="H363" s="25"/>
      <c r="I363" s="47" t="str">
        <f t="shared" si="21"/>
        <v/>
      </c>
      <c r="J363" s="48"/>
      <c r="K363" s="21" t="str">
        <f t="shared" si="13"/>
        <v/>
      </c>
      <c r="L363" s="21" t="str">
        <f t="shared" si="3"/>
        <v/>
      </c>
      <c r="M363" s="21" t="str">
        <f t="array" ref="M363">IF(H363="","",SUMif(year(N$2:BO$2),M$2,N363:BO363))</f>
        <v/>
      </c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</row>
    <row r="364">
      <c r="A364" s="16" t="str">
        <f t="shared" si="14"/>
        <v/>
      </c>
      <c r="B364" s="16" t="str">
        <f t="shared" si="15"/>
        <v/>
      </c>
      <c r="C364" s="35" t="str">
        <f t="shared" si="16"/>
        <v/>
      </c>
      <c r="D364" s="35" t="str">
        <f t="shared" si="17"/>
        <v/>
      </c>
      <c r="E364" s="35" t="str">
        <f t="shared" si="18"/>
        <v/>
      </c>
      <c r="F364" s="35" t="str">
        <f t="shared" si="19"/>
        <v/>
      </c>
      <c r="G364" s="35" t="str">
        <f t="shared" si="20"/>
        <v/>
      </c>
      <c r="H364" s="25"/>
      <c r="I364" s="47" t="str">
        <f t="shared" si="21"/>
        <v/>
      </c>
      <c r="J364" s="48"/>
      <c r="K364" s="21" t="str">
        <f t="shared" si="13"/>
        <v/>
      </c>
      <c r="L364" s="21" t="str">
        <f t="shared" si="3"/>
        <v/>
      </c>
      <c r="M364" s="21" t="str">
        <f t="array" ref="M364">IF(H364="","",SUMif(year(N$2:BO$2),M$2,N364:BO364))</f>
        <v/>
      </c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</row>
    <row r="365">
      <c r="A365" s="16" t="str">
        <f t="shared" si="14"/>
        <v/>
      </c>
      <c r="B365" s="16" t="str">
        <f t="shared" si="15"/>
        <v/>
      </c>
      <c r="C365" s="35" t="str">
        <f t="shared" si="16"/>
        <v/>
      </c>
      <c r="D365" s="35" t="str">
        <f t="shared" si="17"/>
        <v/>
      </c>
      <c r="E365" s="35" t="str">
        <f t="shared" si="18"/>
        <v/>
      </c>
      <c r="F365" s="35" t="str">
        <f t="shared" si="19"/>
        <v/>
      </c>
      <c r="G365" s="35" t="str">
        <f t="shared" si="20"/>
        <v/>
      </c>
      <c r="H365" s="25"/>
      <c r="I365" s="47" t="str">
        <f t="shared" si="21"/>
        <v/>
      </c>
      <c r="J365" s="48"/>
      <c r="K365" s="21" t="str">
        <f t="shared" si="13"/>
        <v/>
      </c>
      <c r="L365" s="21" t="str">
        <f t="shared" si="3"/>
        <v/>
      </c>
      <c r="M365" s="21" t="str">
        <f t="array" ref="M365">IF(H365="","",SUMif(year(N$2:BO$2),M$2,N365:BO365))</f>
        <v/>
      </c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</row>
    <row r="366">
      <c r="A366" s="16" t="str">
        <f t="shared" si="14"/>
        <v/>
      </c>
      <c r="B366" s="16" t="str">
        <f t="shared" si="15"/>
        <v/>
      </c>
      <c r="C366" s="35" t="str">
        <f t="shared" si="16"/>
        <v/>
      </c>
      <c r="D366" s="35" t="str">
        <f t="shared" si="17"/>
        <v/>
      </c>
      <c r="E366" s="35" t="str">
        <f t="shared" si="18"/>
        <v/>
      </c>
      <c r="F366" s="35" t="str">
        <f t="shared" si="19"/>
        <v/>
      </c>
      <c r="G366" s="35" t="str">
        <f t="shared" si="20"/>
        <v/>
      </c>
      <c r="H366" s="25"/>
      <c r="I366" s="47" t="str">
        <f t="shared" si="21"/>
        <v/>
      </c>
      <c r="J366" s="48"/>
      <c r="K366" s="21" t="str">
        <f t="shared" si="13"/>
        <v/>
      </c>
      <c r="L366" s="21" t="str">
        <f t="shared" si="3"/>
        <v/>
      </c>
      <c r="M366" s="21" t="str">
        <f t="array" ref="M366">IF(H366="","",SUMif(year(N$2:BO$2),M$2,N366:BO366))</f>
        <v/>
      </c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</row>
    <row r="367">
      <c r="A367" s="16" t="str">
        <f t="shared" si="14"/>
        <v/>
      </c>
      <c r="B367" s="16" t="str">
        <f t="shared" si="15"/>
        <v/>
      </c>
      <c r="C367" s="35" t="str">
        <f t="shared" si="16"/>
        <v/>
      </c>
      <c r="D367" s="35" t="str">
        <f t="shared" si="17"/>
        <v/>
      </c>
      <c r="E367" s="35" t="str">
        <f t="shared" si="18"/>
        <v/>
      </c>
      <c r="F367" s="35" t="str">
        <f t="shared" si="19"/>
        <v/>
      </c>
      <c r="G367" s="35" t="str">
        <f t="shared" si="20"/>
        <v/>
      </c>
      <c r="H367" s="25"/>
      <c r="I367" s="47" t="str">
        <f t="shared" si="21"/>
        <v/>
      </c>
      <c r="J367" s="48"/>
      <c r="K367" s="21" t="str">
        <f t="shared" si="13"/>
        <v/>
      </c>
      <c r="L367" s="21" t="str">
        <f t="shared" si="3"/>
        <v/>
      </c>
      <c r="M367" s="21" t="str">
        <f t="array" ref="M367">IF(H367="","",SUMif(year(N$2:BO$2),M$2,N367:BO367))</f>
        <v/>
      </c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</row>
    <row r="368">
      <c r="A368" s="16" t="str">
        <f t="shared" si="14"/>
        <v/>
      </c>
      <c r="B368" s="16" t="str">
        <f t="shared" si="15"/>
        <v/>
      </c>
      <c r="C368" s="35" t="str">
        <f t="shared" si="16"/>
        <v/>
      </c>
      <c r="D368" s="35" t="str">
        <f t="shared" si="17"/>
        <v/>
      </c>
      <c r="E368" s="35" t="str">
        <f t="shared" si="18"/>
        <v/>
      </c>
      <c r="F368" s="35" t="str">
        <f t="shared" si="19"/>
        <v/>
      </c>
      <c r="G368" s="35" t="str">
        <f t="shared" si="20"/>
        <v/>
      </c>
      <c r="H368" s="25"/>
      <c r="I368" s="47" t="str">
        <f t="shared" si="21"/>
        <v/>
      </c>
      <c r="J368" s="48"/>
      <c r="K368" s="21" t="str">
        <f t="shared" si="13"/>
        <v/>
      </c>
      <c r="L368" s="21" t="str">
        <f t="shared" si="3"/>
        <v/>
      </c>
      <c r="M368" s="21" t="str">
        <f t="array" ref="M368">IF(H368="","",SUMif(year(N$2:BO$2),M$2,N368:BO368))</f>
        <v/>
      </c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</row>
    <row r="369">
      <c r="A369" s="16" t="str">
        <f t="shared" si="14"/>
        <v/>
      </c>
      <c r="B369" s="16" t="str">
        <f t="shared" si="15"/>
        <v/>
      </c>
      <c r="C369" s="35" t="str">
        <f t="shared" si="16"/>
        <v/>
      </c>
      <c r="D369" s="35" t="str">
        <f t="shared" si="17"/>
        <v/>
      </c>
      <c r="E369" s="35" t="str">
        <f t="shared" si="18"/>
        <v/>
      </c>
      <c r="F369" s="35" t="str">
        <f t="shared" si="19"/>
        <v/>
      </c>
      <c r="G369" s="35" t="str">
        <f t="shared" si="20"/>
        <v/>
      </c>
      <c r="H369" s="25"/>
      <c r="I369" s="47" t="str">
        <f t="shared" si="21"/>
        <v/>
      </c>
      <c r="J369" s="48"/>
      <c r="K369" s="21" t="str">
        <f t="shared" si="13"/>
        <v/>
      </c>
      <c r="L369" s="21" t="str">
        <f t="shared" si="3"/>
        <v/>
      </c>
      <c r="M369" s="21" t="str">
        <f t="array" ref="M369">IF(H369="","",SUMif(year(N$2:BO$2),M$2,N369:BO369))</f>
        <v/>
      </c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</row>
    <row r="370">
      <c r="A370" s="16" t="str">
        <f t="shared" si="14"/>
        <v/>
      </c>
      <c r="B370" s="16" t="str">
        <f t="shared" si="15"/>
        <v/>
      </c>
      <c r="C370" s="35" t="str">
        <f t="shared" si="16"/>
        <v/>
      </c>
      <c r="D370" s="35" t="str">
        <f t="shared" si="17"/>
        <v/>
      </c>
      <c r="E370" s="35" t="str">
        <f t="shared" si="18"/>
        <v/>
      </c>
      <c r="F370" s="35" t="str">
        <f t="shared" si="19"/>
        <v/>
      </c>
      <c r="G370" s="35" t="str">
        <f t="shared" si="20"/>
        <v/>
      </c>
      <c r="H370" s="25"/>
      <c r="I370" s="47" t="str">
        <f t="shared" si="21"/>
        <v/>
      </c>
      <c r="J370" s="48"/>
      <c r="K370" s="21" t="str">
        <f t="shared" si="13"/>
        <v/>
      </c>
      <c r="L370" s="21" t="str">
        <f t="shared" si="3"/>
        <v/>
      </c>
      <c r="M370" s="21" t="str">
        <f t="array" ref="M370">IF(H370="","",SUMif(year(N$2:BO$2),M$2,N370:BO370))</f>
        <v/>
      </c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</row>
    <row r="371">
      <c r="A371" s="16" t="str">
        <f t="shared" si="14"/>
        <v/>
      </c>
      <c r="B371" s="16" t="str">
        <f t="shared" si="15"/>
        <v/>
      </c>
      <c r="C371" s="35" t="str">
        <f t="shared" si="16"/>
        <v/>
      </c>
      <c r="D371" s="35" t="str">
        <f t="shared" si="17"/>
        <v/>
      </c>
      <c r="E371" s="35" t="str">
        <f t="shared" si="18"/>
        <v/>
      </c>
      <c r="F371" s="35" t="str">
        <f t="shared" si="19"/>
        <v/>
      </c>
      <c r="G371" s="35" t="str">
        <f t="shared" si="20"/>
        <v/>
      </c>
      <c r="H371" s="25"/>
      <c r="I371" s="47" t="str">
        <f t="shared" si="21"/>
        <v/>
      </c>
      <c r="J371" s="48"/>
      <c r="K371" s="21" t="str">
        <f t="shared" si="13"/>
        <v/>
      </c>
      <c r="L371" s="21" t="str">
        <f t="shared" si="3"/>
        <v/>
      </c>
      <c r="M371" s="21" t="str">
        <f t="array" ref="M371">IF(H371="","",SUMif(year(N$2:BO$2),M$2,N371:BO371))</f>
        <v/>
      </c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</row>
    <row r="372">
      <c r="A372" s="16" t="str">
        <f t="shared" si="14"/>
        <v/>
      </c>
      <c r="B372" s="16" t="str">
        <f t="shared" si="15"/>
        <v/>
      </c>
      <c r="C372" s="35" t="str">
        <f t="shared" si="16"/>
        <v/>
      </c>
      <c r="D372" s="35" t="str">
        <f t="shared" si="17"/>
        <v/>
      </c>
      <c r="E372" s="35" t="str">
        <f t="shared" si="18"/>
        <v/>
      </c>
      <c r="F372" s="35" t="str">
        <f t="shared" si="19"/>
        <v/>
      </c>
      <c r="G372" s="35" t="str">
        <f t="shared" si="20"/>
        <v/>
      </c>
      <c r="H372" s="25"/>
      <c r="I372" s="47" t="str">
        <f t="shared" si="21"/>
        <v/>
      </c>
      <c r="J372" s="48"/>
      <c r="K372" s="21" t="str">
        <f t="shared" si="13"/>
        <v/>
      </c>
      <c r="L372" s="21" t="str">
        <f t="shared" si="3"/>
        <v/>
      </c>
      <c r="M372" s="21" t="str">
        <f t="array" ref="M372">IF(H372="","",SUMif(year(N$2:BO$2),M$2,N372:BO372))</f>
        <v/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</row>
    <row r="373">
      <c r="A373" s="16" t="str">
        <f t="shared" si="14"/>
        <v/>
      </c>
      <c r="B373" s="16" t="str">
        <f t="shared" si="15"/>
        <v/>
      </c>
      <c r="C373" s="35" t="str">
        <f t="shared" si="16"/>
        <v/>
      </c>
      <c r="D373" s="35" t="str">
        <f t="shared" si="17"/>
        <v/>
      </c>
      <c r="E373" s="35" t="str">
        <f t="shared" si="18"/>
        <v/>
      </c>
      <c r="F373" s="35" t="str">
        <f t="shared" si="19"/>
        <v/>
      </c>
      <c r="G373" s="35" t="str">
        <f t="shared" si="20"/>
        <v/>
      </c>
      <c r="H373" s="25"/>
      <c r="I373" s="47" t="str">
        <f t="shared" si="21"/>
        <v/>
      </c>
      <c r="J373" s="48"/>
      <c r="K373" s="21" t="str">
        <f t="shared" si="13"/>
        <v/>
      </c>
      <c r="L373" s="21" t="str">
        <f t="shared" si="3"/>
        <v/>
      </c>
      <c r="M373" s="21" t="str">
        <f t="array" ref="M373">IF(H373="","",SUMif(year(N$2:BO$2),M$2,N373:BO373))</f>
        <v/>
      </c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</row>
    <row r="374">
      <c r="A374" s="16" t="str">
        <f t="shared" si="14"/>
        <v/>
      </c>
      <c r="B374" s="16" t="str">
        <f t="shared" si="15"/>
        <v/>
      </c>
      <c r="C374" s="35" t="str">
        <f t="shared" si="16"/>
        <v/>
      </c>
      <c r="D374" s="35" t="str">
        <f t="shared" si="17"/>
        <v/>
      </c>
      <c r="E374" s="35" t="str">
        <f t="shared" si="18"/>
        <v/>
      </c>
      <c r="F374" s="35" t="str">
        <f t="shared" si="19"/>
        <v/>
      </c>
      <c r="G374" s="35" t="str">
        <f t="shared" si="20"/>
        <v/>
      </c>
      <c r="H374" s="25"/>
      <c r="I374" s="47" t="str">
        <f t="shared" si="21"/>
        <v/>
      </c>
      <c r="J374" s="48"/>
      <c r="K374" s="21" t="str">
        <f t="shared" si="13"/>
        <v/>
      </c>
      <c r="L374" s="21" t="str">
        <f t="shared" si="3"/>
        <v/>
      </c>
      <c r="M374" s="21" t="str">
        <f t="array" ref="M374">IF(H374="","",SUMif(year(N$2:BO$2),M$2,N374:BO374))</f>
        <v/>
      </c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</row>
    <row r="375">
      <c r="A375" s="16" t="str">
        <f t="shared" si="14"/>
        <v/>
      </c>
      <c r="B375" s="16" t="str">
        <f t="shared" si="15"/>
        <v/>
      </c>
      <c r="C375" s="35" t="str">
        <f t="shared" si="16"/>
        <v/>
      </c>
      <c r="D375" s="35" t="str">
        <f t="shared" si="17"/>
        <v/>
      </c>
      <c r="E375" s="35" t="str">
        <f t="shared" si="18"/>
        <v/>
      </c>
      <c r="F375" s="35" t="str">
        <f t="shared" si="19"/>
        <v/>
      </c>
      <c r="G375" s="35" t="str">
        <f t="shared" si="20"/>
        <v/>
      </c>
      <c r="H375" s="25"/>
      <c r="I375" s="47" t="str">
        <f t="shared" si="21"/>
        <v/>
      </c>
      <c r="J375" s="48"/>
      <c r="K375" s="21" t="str">
        <f t="shared" si="13"/>
        <v/>
      </c>
      <c r="L375" s="21" t="str">
        <f t="shared" si="3"/>
        <v/>
      </c>
      <c r="M375" s="21" t="str">
        <f t="array" ref="M375">IF(H375="","",SUMif(year(N$2:BO$2),M$2,N375:BO375))</f>
        <v/>
      </c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</row>
    <row r="376">
      <c r="A376" s="16" t="str">
        <f t="shared" si="14"/>
        <v/>
      </c>
      <c r="B376" s="16" t="str">
        <f t="shared" si="15"/>
        <v/>
      </c>
      <c r="C376" s="35" t="str">
        <f t="shared" si="16"/>
        <v/>
      </c>
      <c r="D376" s="35" t="str">
        <f t="shared" si="17"/>
        <v/>
      </c>
      <c r="E376" s="35" t="str">
        <f t="shared" si="18"/>
        <v/>
      </c>
      <c r="F376" s="35" t="str">
        <f t="shared" si="19"/>
        <v/>
      </c>
      <c r="G376" s="35" t="str">
        <f t="shared" si="20"/>
        <v/>
      </c>
      <c r="H376" s="25"/>
      <c r="I376" s="47" t="str">
        <f t="shared" si="21"/>
        <v/>
      </c>
      <c r="J376" s="48"/>
      <c r="K376" s="21" t="str">
        <f t="shared" si="13"/>
        <v/>
      </c>
      <c r="L376" s="21" t="str">
        <f t="shared" si="3"/>
        <v/>
      </c>
      <c r="M376" s="21" t="str">
        <f t="array" ref="M376">IF(H376="","",SUMif(year(N$2:BO$2),M$2,N376:BO376))</f>
        <v/>
      </c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</row>
    <row r="377">
      <c r="A377" s="16" t="str">
        <f t="shared" si="14"/>
        <v/>
      </c>
      <c r="B377" s="16" t="str">
        <f t="shared" si="15"/>
        <v/>
      </c>
      <c r="C377" s="35" t="str">
        <f t="shared" si="16"/>
        <v/>
      </c>
      <c r="D377" s="35" t="str">
        <f t="shared" si="17"/>
        <v/>
      </c>
      <c r="E377" s="35" t="str">
        <f t="shared" si="18"/>
        <v/>
      </c>
      <c r="F377" s="35" t="str">
        <f t="shared" si="19"/>
        <v/>
      </c>
      <c r="G377" s="35" t="str">
        <f t="shared" si="20"/>
        <v/>
      </c>
      <c r="H377" s="25"/>
      <c r="I377" s="47" t="str">
        <f t="shared" si="21"/>
        <v/>
      </c>
      <c r="J377" s="48"/>
      <c r="K377" s="21" t="str">
        <f t="shared" si="13"/>
        <v/>
      </c>
      <c r="L377" s="21" t="str">
        <f t="shared" si="3"/>
        <v/>
      </c>
      <c r="M377" s="21" t="str">
        <f t="array" ref="M377">IF(H377="","",SUMif(year(N$2:BO$2),M$2,N377:BO377))</f>
        <v/>
      </c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</row>
    <row r="378">
      <c r="A378" s="16" t="str">
        <f t="shared" si="14"/>
        <v/>
      </c>
      <c r="B378" s="16" t="str">
        <f t="shared" si="15"/>
        <v/>
      </c>
      <c r="C378" s="35" t="str">
        <f t="shared" si="16"/>
        <v/>
      </c>
      <c r="D378" s="35" t="str">
        <f t="shared" si="17"/>
        <v/>
      </c>
      <c r="E378" s="35" t="str">
        <f t="shared" si="18"/>
        <v/>
      </c>
      <c r="F378" s="35" t="str">
        <f t="shared" si="19"/>
        <v/>
      </c>
      <c r="G378" s="35" t="str">
        <f t="shared" si="20"/>
        <v/>
      </c>
      <c r="H378" s="25"/>
      <c r="I378" s="47" t="str">
        <f t="shared" si="21"/>
        <v/>
      </c>
      <c r="J378" s="48"/>
      <c r="K378" s="21" t="str">
        <f t="shared" si="13"/>
        <v/>
      </c>
      <c r="L378" s="21" t="str">
        <f t="shared" si="3"/>
        <v/>
      </c>
      <c r="M378" s="21" t="str">
        <f t="array" ref="M378">IF(H378="","",SUMif(year(N$2:BO$2),M$2,N378:BO378))</f>
        <v/>
      </c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</row>
    <row r="379">
      <c r="A379" s="16" t="str">
        <f t="shared" si="14"/>
        <v/>
      </c>
      <c r="B379" s="16" t="str">
        <f t="shared" si="15"/>
        <v/>
      </c>
      <c r="C379" s="35" t="str">
        <f t="shared" si="16"/>
        <v/>
      </c>
      <c r="D379" s="35" t="str">
        <f t="shared" si="17"/>
        <v/>
      </c>
      <c r="E379" s="35" t="str">
        <f t="shared" si="18"/>
        <v/>
      </c>
      <c r="F379" s="35" t="str">
        <f t="shared" si="19"/>
        <v/>
      </c>
      <c r="G379" s="35" t="str">
        <f t="shared" si="20"/>
        <v/>
      </c>
      <c r="H379" s="25"/>
      <c r="I379" s="47" t="str">
        <f t="shared" si="21"/>
        <v/>
      </c>
      <c r="J379" s="48"/>
      <c r="K379" s="21" t="str">
        <f t="shared" si="13"/>
        <v/>
      </c>
      <c r="L379" s="21" t="str">
        <f t="shared" si="3"/>
        <v/>
      </c>
      <c r="M379" s="21" t="str">
        <f t="array" ref="M379">IF(H379="","",SUMif(year(N$2:BO$2),M$2,N379:BO379))</f>
        <v/>
      </c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</row>
    <row r="380">
      <c r="A380" s="16" t="str">
        <f t="shared" si="14"/>
        <v/>
      </c>
      <c r="B380" s="16" t="str">
        <f t="shared" si="15"/>
        <v/>
      </c>
      <c r="C380" s="35" t="str">
        <f t="shared" si="16"/>
        <v/>
      </c>
      <c r="D380" s="35" t="str">
        <f t="shared" si="17"/>
        <v/>
      </c>
      <c r="E380" s="35" t="str">
        <f t="shared" si="18"/>
        <v/>
      </c>
      <c r="F380" s="35" t="str">
        <f t="shared" si="19"/>
        <v/>
      </c>
      <c r="G380" s="35" t="str">
        <f t="shared" si="20"/>
        <v/>
      </c>
      <c r="H380" s="25"/>
      <c r="I380" s="47" t="str">
        <f t="shared" si="21"/>
        <v/>
      </c>
      <c r="J380" s="48"/>
      <c r="K380" s="21" t="str">
        <f t="shared" si="13"/>
        <v/>
      </c>
      <c r="L380" s="21" t="str">
        <f t="shared" si="3"/>
        <v/>
      </c>
      <c r="M380" s="21" t="str">
        <f t="array" ref="M380">IF(H380="","",SUMif(year(N$2:BO$2),M$2,N380:BO380))</f>
        <v/>
      </c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</row>
    <row r="381">
      <c r="A381" s="16" t="str">
        <f t="shared" si="14"/>
        <v/>
      </c>
      <c r="B381" s="16" t="str">
        <f t="shared" si="15"/>
        <v/>
      </c>
      <c r="C381" s="35" t="str">
        <f t="shared" si="16"/>
        <v/>
      </c>
      <c r="D381" s="35" t="str">
        <f t="shared" si="17"/>
        <v/>
      </c>
      <c r="E381" s="35" t="str">
        <f t="shared" si="18"/>
        <v/>
      </c>
      <c r="F381" s="35" t="str">
        <f t="shared" si="19"/>
        <v/>
      </c>
      <c r="G381" s="35" t="str">
        <f t="shared" si="20"/>
        <v/>
      </c>
      <c r="H381" s="25"/>
      <c r="I381" s="47" t="str">
        <f t="shared" si="21"/>
        <v/>
      </c>
      <c r="J381" s="48"/>
      <c r="K381" s="21" t="str">
        <f t="shared" si="13"/>
        <v/>
      </c>
      <c r="L381" s="21" t="str">
        <f t="shared" si="3"/>
        <v/>
      </c>
      <c r="M381" s="21" t="str">
        <f t="array" ref="M381">IF(H381="","",SUMif(year(N$2:BO$2),M$2,N381:BO381))</f>
        <v/>
      </c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</row>
    <row r="382">
      <c r="A382" s="16" t="str">
        <f t="shared" si="14"/>
        <v/>
      </c>
      <c r="B382" s="16" t="str">
        <f t="shared" si="15"/>
        <v/>
      </c>
      <c r="C382" s="35" t="str">
        <f t="shared" si="16"/>
        <v/>
      </c>
      <c r="D382" s="35" t="str">
        <f t="shared" si="17"/>
        <v/>
      </c>
      <c r="E382" s="35" t="str">
        <f t="shared" si="18"/>
        <v/>
      </c>
      <c r="F382" s="35" t="str">
        <f t="shared" si="19"/>
        <v/>
      </c>
      <c r="G382" s="35" t="str">
        <f t="shared" si="20"/>
        <v/>
      </c>
      <c r="H382" s="25"/>
      <c r="I382" s="47" t="str">
        <f t="shared" si="21"/>
        <v/>
      </c>
      <c r="J382" s="48"/>
      <c r="K382" s="21" t="str">
        <f t="shared" si="13"/>
        <v/>
      </c>
      <c r="L382" s="21" t="str">
        <f t="shared" si="3"/>
        <v/>
      </c>
      <c r="M382" s="21" t="str">
        <f t="array" ref="M382">IF(H382="","",SUMif(year(N$2:BO$2),M$2,N382:BO382))</f>
        <v/>
      </c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</row>
    <row r="383">
      <c r="A383" s="16" t="str">
        <f t="shared" si="14"/>
        <v/>
      </c>
      <c r="B383" s="16" t="str">
        <f t="shared" si="15"/>
        <v/>
      </c>
      <c r="C383" s="35" t="str">
        <f t="shared" si="16"/>
        <v/>
      </c>
      <c r="D383" s="35" t="str">
        <f t="shared" si="17"/>
        <v/>
      </c>
      <c r="E383" s="35" t="str">
        <f t="shared" si="18"/>
        <v/>
      </c>
      <c r="F383" s="35" t="str">
        <f t="shared" si="19"/>
        <v/>
      </c>
      <c r="G383" s="35" t="str">
        <f t="shared" si="20"/>
        <v/>
      </c>
      <c r="H383" s="25"/>
      <c r="I383" s="47" t="str">
        <f t="shared" si="21"/>
        <v/>
      </c>
      <c r="J383" s="48"/>
      <c r="K383" s="21" t="str">
        <f t="shared" si="13"/>
        <v/>
      </c>
      <c r="L383" s="21" t="str">
        <f t="shared" si="3"/>
        <v/>
      </c>
      <c r="M383" s="21" t="str">
        <f t="array" ref="M383">IF(H383="","",SUMif(year(N$2:BO$2),M$2,N383:BO383))</f>
        <v/>
      </c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</row>
    <row r="384">
      <c r="A384" s="16" t="str">
        <f t="shared" si="14"/>
        <v/>
      </c>
      <c r="B384" s="16" t="str">
        <f t="shared" si="15"/>
        <v/>
      </c>
      <c r="C384" s="35" t="str">
        <f t="shared" si="16"/>
        <v/>
      </c>
      <c r="D384" s="35" t="str">
        <f t="shared" si="17"/>
        <v/>
      </c>
      <c r="E384" s="35" t="str">
        <f t="shared" si="18"/>
        <v/>
      </c>
      <c r="F384" s="35" t="str">
        <f t="shared" si="19"/>
        <v/>
      </c>
      <c r="G384" s="35" t="str">
        <f t="shared" si="20"/>
        <v/>
      </c>
      <c r="H384" s="25"/>
      <c r="I384" s="47" t="str">
        <f t="shared" si="21"/>
        <v/>
      </c>
      <c r="J384" s="48"/>
      <c r="K384" s="21" t="str">
        <f t="shared" si="13"/>
        <v/>
      </c>
      <c r="L384" s="21" t="str">
        <f t="shared" si="3"/>
        <v/>
      </c>
      <c r="M384" s="21" t="str">
        <f t="array" ref="M384">IF(H384="","",SUMif(year(N$2:BO$2),M$2,N384:BO384))</f>
        <v/>
      </c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</row>
    <row r="385">
      <c r="A385" s="16" t="str">
        <f t="shared" si="14"/>
        <v/>
      </c>
      <c r="B385" s="16" t="str">
        <f t="shared" si="15"/>
        <v/>
      </c>
      <c r="C385" s="35" t="str">
        <f t="shared" si="16"/>
        <v/>
      </c>
      <c r="D385" s="35" t="str">
        <f t="shared" si="17"/>
        <v/>
      </c>
      <c r="E385" s="35" t="str">
        <f t="shared" si="18"/>
        <v/>
      </c>
      <c r="F385" s="35" t="str">
        <f t="shared" si="19"/>
        <v/>
      </c>
      <c r="G385" s="35" t="str">
        <f t="shared" si="20"/>
        <v/>
      </c>
      <c r="H385" s="25"/>
      <c r="I385" s="47" t="str">
        <f t="shared" si="21"/>
        <v/>
      </c>
      <c r="J385" s="48"/>
      <c r="K385" s="21" t="str">
        <f t="shared" si="13"/>
        <v/>
      </c>
      <c r="L385" s="21" t="str">
        <f t="shared" si="3"/>
        <v/>
      </c>
      <c r="M385" s="21" t="str">
        <f t="array" ref="M385">IF(H385="","",SUMif(year(N$2:BO$2),M$2,N385:BO385))</f>
        <v/>
      </c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</row>
    <row r="386">
      <c r="A386" s="16" t="str">
        <f t="shared" si="14"/>
        <v/>
      </c>
      <c r="B386" s="16" t="str">
        <f t="shared" si="15"/>
        <v/>
      </c>
      <c r="C386" s="35" t="str">
        <f t="shared" si="16"/>
        <v/>
      </c>
      <c r="D386" s="35" t="str">
        <f t="shared" si="17"/>
        <v/>
      </c>
      <c r="E386" s="35" t="str">
        <f t="shared" si="18"/>
        <v/>
      </c>
      <c r="F386" s="35" t="str">
        <f t="shared" si="19"/>
        <v/>
      </c>
      <c r="G386" s="35" t="str">
        <f t="shared" si="20"/>
        <v/>
      </c>
      <c r="H386" s="25"/>
      <c r="I386" s="47" t="str">
        <f t="shared" si="21"/>
        <v/>
      </c>
      <c r="J386" s="48"/>
      <c r="K386" s="21" t="str">
        <f t="shared" si="13"/>
        <v/>
      </c>
      <c r="L386" s="21" t="str">
        <f t="shared" si="3"/>
        <v/>
      </c>
      <c r="M386" s="21" t="str">
        <f t="array" ref="M386">IF(H386="","",SUMif(year(N$2:BO$2),M$2,N386:BO386))</f>
        <v/>
      </c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</row>
    <row r="387">
      <c r="A387" s="16" t="str">
        <f t="shared" si="14"/>
        <v/>
      </c>
      <c r="B387" s="16" t="str">
        <f t="shared" si="15"/>
        <v/>
      </c>
      <c r="C387" s="35" t="str">
        <f t="shared" si="16"/>
        <v/>
      </c>
      <c r="D387" s="35" t="str">
        <f t="shared" si="17"/>
        <v/>
      </c>
      <c r="E387" s="35" t="str">
        <f t="shared" si="18"/>
        <v/>
      </c>
      <c r="F387" s="35" t="str">
        <f t="shared" si="19"/>
        <v/>
      </c>
      <c r="G387" s="35" t="str">
        <f t="shared" si="20"/>
        <v/>
      </c>
      <c r="H387" s="25"/>
      <c r="I387" s="47" t="str">
        <f t="shared" si="21"/>
        <v/>
      </c>
      <c r="J387" s="48"/>
      <c r="K387" s="21" t="str">
        <f t="shared" si="13"/>
        <v/>
      </c>
      <c r="L387" s="21" t="str">
        <f t="shared" si="3"/>
        <v/>
      </c>
      <c r="M387" s="21" t="str">
        <f t="array" ref="M387">IF(H387="","",SUMif(year(N$2:BO$2),M$2,N387:BO387))</f>
        <v/>
      </c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</row>
    <row r="388">
      <c r="A388" s="16" t="str">
        <f t="shared" si="14"/>
        <v/>
      </c>
      <c r="B388" s="16" t="str">
        <f t="shared" si="15"/>
        <v/>
      </c>
      <c r="C388" s="35" t="str">
        <f t="shared" si="16"/>
        <v/>
      </c>
      <c r="D388" s="35" t="str">
        <f t="shared" si="17"/>
        <v/>
      </c>
      <c r="E388" s="35" t="str">
        <f t="shared" si="18"/>
        <v/>
      </c>
      <c r="F388" s="35" t="str">
        <f t="shared" si="19"/>
        <v/>
      </c>
      <c r="G388" s="35" t="str">
        <f t="shared" si="20"/>
        <v/>
      </c>
      <c r="H388" s="25"/>
      <c r="I388" s="47" t="str">
        <f t="shared" si="21"/>
        <v/>
      </c>
      <c r="J388" s="48"/>
      <c r="K388" s="21" t="str">
        <f t="shared" si="13"/>
        <v/>
      </c>
      <c r="L388" s="21" t="str">
        <f t="shared" si="3"/>
        <v/>
      </c>
      <c r="M388" s="21" t="str">
        <f t="array" ref="M388">IF(H388="","",SUMif(year(N$2:BO$2),M$2,N388:BO388))</f>
        <v/>
      </c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</row>
    <row r="389">
      <c r="A389" s="16" t="str">
        <f t="shared" si="14"/>
        <v/>
      </c>
      <c r="B389" s="16" t="str">
        <f t="shared" si="15"/>
        <v/>
      </c>
      <c r="C389" s="35" t="str">
        <f t="shared" si="16"/>
        <v/>
      </c>
      <c r="D389" s="35" t="str">
        <f t="shared" si="17"/>
        <v/>
      </c>
      <c r="E389" s="35" t="str">
        <f t="shared" si="18"/>
        <v/>
      </c>
      <c r="F389" s="35" t="str">
        <f t="shared" si="19"/>
        <v/>
      </c>
      <c r="G389" s="35" t="str">
        <f t="shared" si="20"/>
        <v/>
      </c>
      <c r="H389" s="25"/>
      <c r="I389" s="47" t="str">
        <f t="shared" si="21"/>
        <v/>
      </c>
      <c r="J389" s="48"/>
      <c r="K389" s="21" t="str">
        <f t="shared" si="13"/>
        <v/>
      </c>
      <c r="L389" s="21" t="str">
        <f t="shared" si="3"/>
        <v/>
      </c>
      <c r="M389" s="21" t="str">
        <f t="array" ref="M389">IF(H389="","",SUMif(year(N$2:BO$2),M$2,N389:BO389))</f>
        <v/>
      </c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</row>
    <row r="390">
      <c r="A390" s="16" t="str">
        <f t="shared" si="14"/>
        <v/>
      </c>
      <c r="B390" s="16" t="str">
        <f t="shared" si="15"/>
        <v/>
      </c>
      <c r="C390" s="35" t="str">
        <f t="shared" si="16"/>
        <v/>
      </c>
      <c r="D390" s="35" t="str">
        <f t="shared" si="17"/>
        <v/>
      </c>
      <c r="E390" s="35" t="str">
        <f t="shared" si="18"/>
        <v/>
      </c>
      <c r="F390" s="35" t="str">
        <f t="shared" si="19"/>
        <v/>
      </c>
      <c r="G390" s="35" t="str">
        <f t="shared" si="20"/>
        <v/>
      </c>
      <c r="H390" s="25"/>
      <c r="I390" s="47" t="str">
        <f t="shared" si="21"/>
        <v/>
      </c>
      <c r="J390" s="48"/>
      <c r="K390" s="21" t="str">
        <f t="shared" si="13"/>
        <v/>
      </c>
      <c r="L390" s="21" t="str">
        <f t="shared" si="3"/>
        <v/>
      </c>
      <c r="M390" s="21" t="str">
        <f t="array" ref="M390">IF(H390="","",SUMif(year(N$2:BO$2),M$2,N390:BO390))</f>
        <v/>
      </c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</row>
    <row r="391">
      <c r="A391" s="16" t="str">
        <f t="shared" si="14"/>
        <v/>
      </c>
      <c r="B391" s="16" t="str">
        <f t="shared" si="15"/>
        <v/>
      </c>
      <c r="C391" s="35" t="str">
        <f t="shared" si="16"/>
        <v/>
      </c>
      <c r="D391" s="35" t="str">
        <f t="shared" si="17"/>
        <v/>
      </c>
      <c r="E391" s="35" t="str">
        <f t="shared" si="18"/>
        <v/>
      </c>
      <c r="F391" s="35" t="str">
        <f t="shared" si="19"/>
        <v/>
      </c>
      <c r="G391" s="35" t="str">
        <f t="shared" si="20"/>
        <v/>
      </c>
      <c r="H391" s="25"/>
      <c r="I391" s="47" t="str">
        <f t="shared" si="21"/>
        <v/>
      </c>
      <c r="J391" s="48"/>
      <c r="K391" s="21" t="str">
        <f t="shared" si="13"/>
        <v/>
      </c>
      <c r="L391" s="21" t="str">
        <f t="shared" si="3"/>
        <v/>
      </c>
      <c r="M391" s="21" t="str">
        <f t="array" ref="M391">IF(H391="","",SUMif(year(N$2:BO$2),M$2,N391:BO391))</f>
        <v/>
      </c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</row>
    <row r="392">
      <c r="A392" s="16" t="str">
        <f t="shared" si="14"/>
        <v/>
      </c>
      <c r="B392" s="16" t="str">
        <f t="shared" si="15"/>
        <v/>
      </c>
      <c r="C392" s="35" t="str">
        <f t="shared" si="16"/>
        <v/>
      </c>
      <c r="D392" s="35" t="str">
        <f t="shared" si="17"/>
        <v/>
      </c>
      <c r="E392" s="35" t="str">
        <f t="shared" si="18"/>
        <v/>
      </c>
      <c r="F392" s="35" t="str">
        <f t="shared" si="19"/>
        <v/>
      </c>
      <c r="G392" s="35" t="str">
        <f t="shared" si="20"/>
        <v/>
      </c>
      <c r="H392" s="25"/>
      <c r="I392" s="47" t="str">
        <f t="shared" si="21"/>
        <v/>
      </c>
      <c r="J392" s="48"/>
      <c r="K392" s="21" t="str">
        <f t="shared" si="13"/>
        <v/>
      </c>
      <c r="L392" s="21" t="str">
        <f t="shared" si="3"/>
        <v/>
      </c>
      <c r="M392" s="21" t="str">
        <f t="array" ref="M392">IF(H392="","",SUMif(year(N$2:BO$2),M$2,N392:BO392))</f>
        <v/>
      </c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</row>
    <row r="393">
      <c r="A393" s="16" t="str">
        <f t="shared" si="14"/>
        <v/>
      </c>
      <c r="B393" s="16" t="str">
        <f t="shared" si="15"/>
        <v/>
      </c>
      <c r="C393" s="35" t="str">
        <f t="shared" si="16"/>
        <v/>
      </c>
      <c r="D393" s="35" t="str">
        <f t="shared" si="17"/>
        <v/>
      </c>
      <c r="E393" s="35" t="str">
        <f t="shared" si="18"/>
        <v/>
      </c>
      <c r="F393" s="35" t="str">
        <f t="shared" si="19"/>
        <v/>
      </c>
      <c r="G393" s="35" t="str">
        <f t="shared" si="20"/>
        <v/>
      </c>
      <c r="H393" s="25"/>
      <c r="I393" s="47" t="str">
        <f t="shared" si="21"/>
        <v/>
      </c>
      <c r="J393" s="48"/>
      <c r="K393" s="21" t="str">
        <f t="shared" si="13"/>
        <v/>
      </c>
      <c r="L393" s="21" t="str">
        <f t="shared" si="3"/>
        <v/>
      </c>
      <c r="M393" s="21" t="str">
        <f t="array" ref="M393">IF(H393="","",SUMif(year(N$2:BO$2),M$2,N393:BO393))</f>
        <v/>
      </c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</row>
    <row r="394">
      <c r="A394" s="16" t="str">
        <f t="shared" si="14"/>
        <v/>
      </c>
      <c r="B394" s="16" t="str">
        <f t="shared" si="15"/>
        <v/>
      </c>
      <c r="C394" s="35" t="str">
        <f t="shared" si="16"/>
        <v/>
      </c>
      <c r="D394" s="35" t="str">
        <f t="shared" si="17"/>
        <v/>
      </c>
      <c r="E394" s="35" t="str">
        <f t="shared" si="18"/>
        <v/>
      </c>
      <c r="F394" s="35" t="str">
        <f t="shared" si="19"/>
        <v/>
      </c>
      <c r="G394" s="35" t="str">
        <f t="shared" si="20"/>
        <v/>
      </c>
      <c r="H394" s="25"/>
      <c r="I394" s="47" t="str">
        <f t="shared" si="21"/>
        <v/>
      </c>
      <c r="J394" s="48"/>
      <c r="K394" s="21" t="str">
        <f t="shared" si="13"/>
        <v/>
      </c>
      <c r="L394" s="21" t="str">
        <f t="shared" si="3"/>
        <v/>
      </c>
      <c r="M394" s="21" t="str">
        <f t="array" ref="M394">IF(H394="","",SUMif(year(N$2:BO$2),M$2,N394:BO394))</f>
        <v/>
      </c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</row>
    <row r="395">
      <c r="A395" s="16" t="str">
        <f t="shared" si="14"/>
        <v/>
      </c>
      <c r="B395" s="16" t="str">
        <f t="shared" si="15"/>
        <v/>
      </c>
      <c r="C395" s="35" t="str">
        <f t="shared" si="16"/>
        <v/>
      </c>
      <c r="D395" s="35" t="str">
        <f t="shared" si="17"/>
        <v/>
      </c>
      <c r="E395" s="35" t="str">
        <f t="shared" si="18"/>
        <v/>
      </c>
      <c r="F395" s="35" t="str">
        <f t="shared" si="19"/>
        <v/>
      </c>
      <c r="G395" s="35" t="str">
        <f t="shared" si="20"/>
        <v/>
      </c>
      <c r="H395" s="25"/>
      <c r="I395" s="47" t="str">
        <f t="shared" si="21"/>
        <v/>
      </c>
      <c r="J395" s="48"/>
      <c r="K395" s="21" t="str">
        <f t="shared" si="13"/>
        <v/>
      </c>
      <c r="L395" s="21" t="str">
        <f t="shared" si="3"/>
        <v/>
      </c>
      <c r="M395" s="21" t="str">
        <f t="array" ref="M395">IF(H395="","",SUMif(year(N$2:BO$2),M$2,N395:BO395))</f>
        <v/>
      </c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</row>
    <row r="396">
      <c r="A396" s="16" t="str">
        <f t="shared" si="14"/>
        <v/>
      </c>
      <c r="B396" s="16" t="str">
        <f t="shared" si="15"/>
        <v/>
      </c>
      <c r="C396" s="35" t="str">
        <f t="shared" si="16"/>
        <v/>
      </c>
      <c r="D396" s="35" t="str">
        <f t="shared" si="17"/>
        <v/>
      </c>
      <c r="E396" s="35" t="str">
        <f t="shared" si="18"/>
        <v/>
      </c>
      <c r="F396" s="35" t="str">
        <f t="shared" si="19"/>
        <v/>
      </c>
      <c r="G396" s="35" t="str">
        <f t="shared" si="20"/>
        <v/>
      </c>
      <c r="H396" s="25"/>
      <c r="I396" s="47" t="str">
        <f t="shared" si="21"/>
        <v/>
      </c>
      <c r="J396" s="48"/>
      <c r="K396" s="21" t="str">
        <f t="shared" si="13"/>
        <v/>
      </c>
      <c r="L396" s="21" t="str">
        <f t="shared" si="3"/>
        <v/>
      </c>
      <c r="M396" s="21" t="str">
        <f t="array" ref="M396">IF(H396="","",SUMif(year(N$2:BO$2),M$2,N396:BO396))</f>
        <v/>
      </c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</row>
    <row r="397">
      <c r="A397" s="16" t="str">
        <f t="shared" si="14"/>
        <v/>
      </c>
      <c r="B397" s="16" t="str">
        <f t="shared" si="15"/>
        <v/>
      </c>
      <c r="C397" s="35" t="str">
        <f t="shared" si="16"/>
        <v/>
      </c>
      <c r="D397" s="35" t="str">
        <f t="shared" si="17"/>
        <v/>
      </c>
      <c r="E397" s="35" t="str">
        <f t="shared" si="18"/>
        <v/>
      </c>
      <c r="F397" s="35" t="str">
        <f t="shared" si="19"/>
        <v/>
      </c>
      <c r="G397" s="35" t="str">
        <f t="shared" si="20"/>
        <v/>
      </c>
      <c r="H397" s="25"/>
      <c r="I397" s="47" t="str">
        <f t="shared" si="21"/>
        <v/>
      </c>
      <c r="J397" s="48"/>
      <c r="K397" s="21" t="str">
        <f t="shared" si="13"/>
        <v/>
      </c>
      <c r="L397" s="21" t="str">
        <f t="shared" si="3"/>
        <v/>
      </c>
      <c r="M397" s="21" t="str">
        <f t="array" ref="M397">IF(H397="","",SUMif(year(N$2:BO$2),M$2,N397:BO397))</f>
        <v/>
      </c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</row>
    <row r="398">
      <c r="A398" s="16" t="str">
        <f t="shared" si="14"/>
        <v/>
      </c>
      <c r="B398" s="16" t="str">
        <f t="shared" si="15"/>
        <v/>
      </c>
      <c r="C398" s="35" t="str">
        <f t="shared" si="16"/>
        <v/>
      </c>
      <c r="D398" s="35" t="str">
        <f t="shared" si="17"/>
        <v/>
      </c>
      <c r="E398" s="35" t="str">
        <f t="shared" si="18"/>
        <v/>
      </c>
      <c r="F398" s="35" t="str">
        <f t="shared" si="19"/>
        <v/>
      </c>
      <c r="G398" s="35" t="str">
        <f t="shared" si="20"/>
        <v/>
      </c>
      <c r="H398" s="25"/>
      <c r="I398" s="47" t="str">
        <f t="shared" si="21"/>
        <v/>
      </c>
      <c r="J398" s="48"/>
      <c r="K398" s="21" t="str">
        <f t="shared" si="13"/>
        <v/>
      </c>
      <c r="L398" s="21" t="str">
        <f t="shared" si="3"/>
        <v/>
      </c>
      <c r="M398" s="21" t="str">
        <f t="array" ref="M398">IF(H398="","",SUMif(year(N$2:BO$2),M$2,N398:BO398))</f>
        <v/>
      </c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</row>
    <row r="399">
      <c r="A399" s="16" t="str">
        <f t="shared" si="14"/>
        <v/>
      </c>
      <c r="B399" s="16" t="str">
        <f t="shared" si="15"/>
        <v/>
      </c>
      <c r="C399" s="35" t="str">
        <f t="shared" si="16"/>
        <v/>
      </c>
      <c r="D399" s="35" t="str">
        <f t="shared" si="17"/>
        <v/>
      </c>
      <c r="E399" s="35" t="str">
        <f t="shared" si="18"/>
        <v/>
      </c>
      <c r="F399" s="35" t="str">
        <f t="shared" si="19"/>
        <v/>
      </c>
      <c r="G399" s="35" t="str">
        <f t="shared" si="20"/>
        <v/>
      </c>
      <c r="H399" s="25"/>
      <c r="I399" s="47" t="str">
        <f t="shared" si="21"/>
        <v/>
      </c>
      <c r="J399" s="48"/>
      <c r="K399" s="21" t="str">
        <f t="shared" si="13"/>
        <v/>
      </c>
      <c r="L399" s="21" t="str">
        <f t="shared" si="3"/>
        <v/>
      </c>
      <c r="M399" s="21" t="str">
        <f t="array" ref="M399">IF(H399="","",SUMif(year(N$2:BO$2),M$2,N399:BO399))</f>
        <v/>
      </c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</row>
    <row r="400">
      <c r="A400" s="16" t="str">
        <f t="shared" si="14"/>
        <v/>
      </c>
      <c r="B400" s="16" t="str">
        <f t="shared" si="15"/>
        <v/>
      </c>
      <c r="C400" s="35" t="str">
        <f t="shared" si="16"/>
        <v/>
      </c>
      <c r="D400" s="35" t="str">
        <f t="shared" si="17"/>
        <v/>
      </c>
      <c r="E400" s="35" t="str">
        <f t="shared" si="18"/>
        <v/>
      </c>
      <c r="F400" s="35" t="str">
        <f t="shared" si="19"/>
        <v/>
      </c>
      <c r="G400" s="35" t="str">
        <f t="shared" si="20"/>
        <v/>
      </c>
      <c r="H400" s="25"/>
      <c r="I400" s="47" t="str">
        <f t="shared" si="21"/>
        <v/>
      </c>
      <c r="J400" s="48"/>
      <c r="K400" s="21" t="str">
        <f t="shared" si="13"/>
        <v/>
      </c>
      <c r="L400" s="21" t="str">
        <f t="shared" si="3"/>
        <v/>
      </c>
      <c r="M400" s="21" t="str">
        <f t="array" ref="M400">IF(H400="","",SUMif(year(N$2:BO$2),M$2,N400:BO400))</f>
        <v/>
      </c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</row>
    <row r="401">
      <c r="A401" s="16" t="str">
        <f t="shared" si="14"/>
        <v/>
      </c>
      <c r="B401" s="16" t="str">
        <f t="shared" si="15"/>
        <v/>
      </c>
      <c r="C401" s="35" t="str">
        <f t="shared" si="16"/>
        <v/>
      </c>
      <c r="D401" s="35" t="str">
        <f t="shared" si="17"/>
        <v/>
      </c>
      <c r="E401" s="35" t="str">
        <f t="shared" si="18"/>
        <v/>
      </c>
      <c r="F401" s="35" t="str">
        <f t="shared" si="19"/>
        <v/>
      </c>
      <c r="G401" s="35" t="str">
        <f t="shared" si="20"/>
        <v/>
      </c>
      <c r="H401" s="25"/>
      <c r="I401" s="47" t="str">
        <f t="shared" si="21"/>
        <v/>
      </c>
      <c r="J401" s="48"/>
      <c r="K401" s="21" t="str">
        <f t="shared" si="13"/>
        <v/>
      </c>
      <c r="L401" s="21" t="str">
        <f t="shared" si="3"/>
        <v/>
      </c>
      <c r="M401" s="21" t="str">
        <f t="array" ref="M401">IF(H401="","",SUMif(year(N$2:BO$2),M$2,N401:BO401))</f>
        <v/>
      </c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</row>
    <row r="402">
      <c r="A402" s="16" t="str">
        <f t="shared" si="14"/>
        <v/>
      </c>
      <c r="B402" s="16" t="str">
        <f t="shared" si="15"/>
        <v/>
      </c>
      <c r="C402" s="35" t="str">
        <f t="shared" si="16"/>
        <v/>
      </c>
      <c r="D402" s="35" t="str">
        <f t="shared" si="17"/>
        <v/>
      </c>
      <c r="E402" s="35" t="str">
        <f t="shared" si="18"/>
        <v/>
      </c>
      <c r="F402" s="35" t="str">
        <f t="shared" si="19"/>
        <v/>
      </c>
      <c r="G402" s="35" t="str">
        <f t="shared" si="20"/>
        <v/>
      </c>
      <c r="H402" s="25"/>
      <c r="I402" s="47" t="str">
        <f t="shared" si="21"/>
        <v/>
      </c>
      <c r="J402" s="48"/>
      <c r="K402" s="21" t="str">
        <f t="shared" si="13"/>
        <v/>
      </c>
      <c r="L402" s="21" t="str">
        <f t="shared" si="3"/>
        <v/>
      </c>
      <c r="M402" s="21" t="str">
        <f t="array" ref="M402">IF(H402="","",SUMif(year(N$2:BO$2),M$2,N402:BO402))</f>
        <v/>
      </c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</row>
    <row r="403">
      <c r="A403" s="16" t="str">
        <f t="shared" si="14"/>
        <v/>
      </c>
      <c r="B403" s="16" t="str">
        <f t="shared" si="15"/>
        <v/>
      </c>
      <c r="C403" s="35" t="str">
        <f t="shared" si="16"/>
        <v/>
      </c>
      <c r="D403" s="35" t="str">
        <f t="shared" si="17"/>
        <v/>
      </c>
      <c r="E403" s="35" t="str">
        <f t="shared" si="18"/>
        <v/>
      </c>
      <c r="F403" s="35" t="str">
        <f t="shared" si="19"/>
        <v/>
      </c>
      <c r="G403" s="35" t="str">
        <f t="shared" si="20"/>
        <v/>
      </c>
      <c r="H403" s="25"/>
      <c r="I403" s="47" t="str">
        <f t="shared" si="21"/>
        <v/>
      </c>
      <c r="J403" s="48"/>
      <c r="K403" s="21" t="str">
        <f t="shared" si="13"/>
        <v/>
      </c>
      <c r="L403" s="21" t="str">
        <f t="shared" si="3"/>
        <v/>
      </c>
      <c r="M403" s="21" t="str">
        <f t="array" ref="M403">IF(H403="","",SUMif(year(N$2:BO$2),M$2,N403:BO403))</f>
        <v/>
      </c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</row>
    <row r="404">
      <c r="A404" s="16" t="str">
        <f t="shared" si="14"/>
        <v/>
      </c>
      <c r="B404" s="16" t="str">
        <f t="shared" si="15"/>
        <v/>
      </c>
      <c r="C404" s="35" t="str">
        <f t="shared" si="16"/>
        <v/>
      </c>
      <c r="D404" s="35" t="str">
        <f t="shared" si="17"/>
        <v/>
      </c>
      <c r="E404" s="35" t="str">
        <f t="shared" si="18"/>
        <v/>
      </c>
      <c r="F404" s="35" t="str">
        <f t="shared" si="19"/>
        <v/>
      </c>
      <c r="G404" s="35" t="str">
        <f t="shared" si="20"/>
        <v/>
      </c>
      <c r="H404" s="25"/>
      <c r="I404" s="47" t="str">
        <f t="shared" si="21"/>
        <v/>
      </c>
      <c r="J404" s="48"/>
      <c r="K404" s="21" t="str">
        <f t="shared" si="13"/>
        <v/>
      </c>
      <c r="L404" s="21" t="str">
        <f t="shared" si="3"/>
        <v/>
      </c>
      <c r="M404" s="21" t="str">
        <f t="array" ref="M404">IF(H404="","",SUMif(year(N$2:BO$2),M$2,N404:BO404))</f>
        <v/>
      </c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</row>
    <row r="405">
      <c r="A405" s="16" t="str">
        <f t="shared" si="14"/>
        <v/>
      </c>
      <c r="B405" s="16" t="str">
        <f t="shared" si="15"/>
        <v/>
      </c>
      <c r="C405" s="35" t="str">
        <f t="shared" si="16"/>
        <v/>
      </c>
      <c r="D405" s="35" t="str">
        <f t="shared" si="17"/>
        <v/>
      </c>
      <c r="E405" s="35" t="str">
        <f t="shared" si="18"/>
        <v/>
      </c>
      <c r="F405" s="35" t="str">
        <f t="shared" si="19"/>
        <v/>
      </c>
      <c r="G405" s="35" t="str">
        <f t="shared" si="20"/>
        <v/>
      </c>
      <c r="H405" s="25"/>
      <c r="I405" s="47" t="str">
        <f t="shared" si="21"/>
        <v/>
      </c>
      <c r="J405" s="48"/>
      <c r="K405" s="21" t="str">
        <f t="shared" si="13"/>
        <v/>
      </c>
      <c r="L405" s="21" t="str">
        <f t="shared" si="3"/>
        <v/>
      </c>
      <c r="M405" s="21" t="str">
        <f t="array" ref="M405">IF(H405="","",SUMif(year(N$2:BO$2),M$2,N405:BO405))</f>
        <v/>
      </c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</row>
    <row r="406">
      <c r="A406" s="16" t="str">
        <f t="shared" si="14"/>
        <v/>
      </c>
      <c r="B406" s="16" t="str">
        <f t="shared" si="15"/>
        <v/>
      </c>
      <c r="C406" s="35" t="str">
        <f t="shared" si="16"/>
        <v/>
      </c>
      <c r="D406" s="35" t="str">
        <f t="shared" si="17"/>
        <v/>
      </c>
      <c r="E406" s="35" t="str">
        <f t="shared" si="18"/>
        <v/>
      </c>
      <c r="F406" s="35" t="str">
        <f t="shared" si="19"/>
        <v/>
      </c>
      <c r="G406" s="35" t="str">
        <f t="shared" si="20"/>
        <v/>
      </c>
      <c r="H406" s="25"/>
      <c r="I406" s="47" t="str">
        <f t="shared" si="21"/>
        <v/>
      </c>
      <c r="J406" s="48"/>
      <c r="K406" s="21" t="str">
        <f t="shared" si="13"/>
        <v/>
      </c>
      <c r="L406" s="21" t="str">
        <f t="shared" si="3"/>
        <v/>
      </c>
      <c r="M406" s="21" t="str">
        <f t="array" ref="M406">IF(H406="","",SUMif(year(N$2:BO$2),M$2,N406:BO406))</f>
        <v/>
      </c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</row>
    <row r="407">
      <c r="A407" s="16" t="str">
        <f t="shared" si="14"/>
        <v/>
      </c>
      <c r="B407" s="16" t="str">
        <f t="shared" si="15"/>
        <v/>
      </c>
      <c r="C407" s="35" t="str">
        <f t="shared" si="16"/>
        <v/>
      </c>
      <c r="D407" s="35" t="str">
        <f t="shared" si="17"/>
        <v/>
      </c>
      <c r="E407" s="35" t="str">
        <f t="shared" si="18"/>
        <v/>
      </c>
      <c r="F407" s="35" t="str">
        <f t="shared" si="19"/>
        <v/>
      </c>
      <c r="G407" s="35" t="str">
        <f t="shared" si="20"/>
        <v/>
      </c>
      <c r="H407" s="25"/>
      <c r="I407" s="47" t="str">
        <f t="shared" si="21"/>
        <v/>
      </c>
      <c r="J407" s="48"/>
      <c r="K407" s="21" t="str">
        <f t="shared" si="13"/>
        <v/>
      </c>
      <c r="L407" s="21" t="str">
        <f t="shared" si="3"/>
        <v/>
      </c>
      <c r="M407" s="21" t="str">
        <f t="array" ref="M407">IF(H407="","",SUMif(year(N$2:BO$2),M$2,N407:BO407))</f>
        <v/>
      </c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</row>
    <row r="408">
      <c r="A408" s="16" t="str">
        <f t="shared" si="14"/>
        <v/>
      </c>
      <c r="B408" s="16" t="str">
        <f t="shared" si="15"/>
        <v/>
      </c>
      <c r="C408" s="35" t="str">
        <f t="shared" si="16"/>
        <v/>
      </c>
      <c r="D408" s="35" t="str">
        <f t="shared" si="17"/>
        <v/>
      </c>
      <c r="E408" s="35" t="str">
        <f t="shared" si="18"/>
        <v/>
      </c>
      <c r="F408" s="35" t="str">
        <f t="shared" si="19"/>
        <v/>
      </c>
      <c r="G408" s="35" t="str">
        <f t="shared" si="20"/>
        <v/>
      </c>
      <c r="H408" s="25"/>
      <c r="I408" s="47" t="str">
        <f t="shared" si="21"/>
        <v/>
      </c>
      <c r="J408" s="48"/>
      <c r="K408" s="21" t="str">
        <f t="shared" si="13"/>
        <v/>
      </c>
      <c r="L408" s="21" t="str">
        <f t="shared" si="3"/>
        <v/>
      </c>
      <c r="M408" s="21" t="str">
        <f t="array" ref="M408">IF(H408="","",SUMif(year(N$2:BO$2),M$2,N408:BO408))</f>
        <v/>
      </c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</row>
    <row r="409">
      <c r="A409" s="16" t="str">
        <f t="shared" si="14"/>
        <v/>
      </c>
      <c r="B409" s="16" t="str">
        <f t="shared" si="15"/>
        <v/>
      </c>
      <c r="C409" s="35" t="str">
        <f t="shared" si="16"/>
        <v/>
      </c>
      <c r="D409" s="35" t="str">
        <f t="shared" si="17"/>
        <v/>
      </c>
      <c r="E409" s="35" t="str">
        <f t="shared" si="18"/>
        <v/>
      </c>
      <c r="F409" s="35" t="str">
        <f t="shared" si="19"/>
        <v/>
      </c>
      <c r="G409" s="35" t="str">
        <f t="shared" si="20"/>
        <v/>
      </c>
      <c r="H409" s="25"/>
      <c r="I409" s="47" t="str">
        <f t="shared" si="21"/>
        <v/>
      </c>
      <c r="J409" s="48"/>
      <c r="K409" s="21" t="str">
        <f t="shared" si="13"/>
        <v/>
      </c>
      <c r="L409" s="21" t="str">
        <f t="shared" si="3"/>
        <v/>
      </c>
      <c r="M409" s="21" t="str">
        <f t="array" ref="M409">IF(H409="","",SUMif(year(N$2:BO$2),M$2,N409:BO409))</f>
        <v/>
      </c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</row>
    <row r="410">
      <c r="A410" s="16" t="str">
        <f t="shared" si="14"/>
        <v/>
      </c>
      <c r="B410" s="16" t="str">
        <f t="shared" si="15"/>
        <v/>
      </c>
      <c r="C410" s="35" t="str">
        <f t="shared" si="16"/>
        <v/>
      </c>
      <c r="D410" s="35" t="str">
        <f t="shared" si="17"/>
        <v/>
      </c>
      <c r="E410" s="35" t="str">
        <f t="shared" si="18"/>
        <v/>
      </c>
      <c r="F410" s="35" t="str">
        <f t="shared" si="19"/>
        <v/>
      </c>
      <c r="G410" s="35" t="str">
        <f t="shared" si="20"/>
        <v/>
      </c>
      <c r="H410" s="25"/>
      <c r="I410" s="47" t="str">
        <f t="shared" si="21"/>
        <v/>
      </c>
      <c r="J410" s="48"/>
      <c r="K410" s="21" t="str">
        <f t="shared" si="13"/>
        <v/>
      </c>
      <c r="L410" s="21" t="str">
        <f t="shared" si="3"/>
        <v/>
      </c>
      <c r="M410" s="21" t="str">
        <f t="array" ref="M410">IF(H410="","",SUMif(year(N$2:BO$2),M$2,N410:BO410))</f>
        <v/>
      </c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</row>
    <row r="411">
      <c r="A411" s="16" t="str">
        <f t="shared" si="14"/>
        <v/>
      </c>
      <c r="B411" s="16" t="str">
        <f t="shared" si="15"/>
        <v/>
      </c>
      <c r="C411" s="35" t="str">
        <f t="shared" si="16"/>
        <v/>
      </c>
      <c r="D411" s="35" t="str">
        <f t="shared" si="17"/>
        <v/>
      </c>
      <c r="E411" s="35" t="str">
        <f t="shared" si="18"/>
        <v/>
      </c>
      <c r="F411" s="35" t="str">
        <f t="shared" si="19"/>
        <v/>
      </c>
      <c r="G411" s="35" t="str">
        <f t="shared" si="20"/>
        <v/>
      </c>
      <c r="H411" s="25"/>
      <c r="I411" s="47" t="str">
        <f t="shared" si="21"/>
        <v/>
      </c>
      <c r="J411" s="48"/>
      <c r="K411" s="21" t="str">
        <f t="shared" si="13"/>
        <v/>
      </c>
      <c r="L411" s="21" t="str">
        <f t="shared" si="3"/>
        <v/>
      </c>
      <c r="M411" s="21" t="str">
        <f t="array" ref="M411">IF(H411="","",SUMif(year(N$2:BO$2),M$2,N411:BO411))</f>
        <v/>
      </c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</row>
    <row r="412">
      <c r="A412" s="16" t="str">
        <f t="shared" si="14"/>
        <v/>
      </c>
      <c r="B412" s="16" t="str">
        <f t="shared" si="15"/>
        <v/>
      </c>
      <c r="C412" s="35" t="str">
        <f t="shared" si="16"/>
        <v/>
      </c>
      <c r="D412" s="35" t="str">
        <f t="shared" si="17"/>
        <v/>
      </c>
      <c r="E412" s="35" t="str">
        <f t="shared" si="18"/>
        <v/>
      </c>
      <c r="F412" s="35" t="str">
        <f t="shared" si="19"/>
        <v/>
      </c>
      <c r="G412" s="35" t="str">
        <f t="shared" si="20"/>
        <v/>
      </c>
      <c r="H412" s="25"/>
      <c r="I412" s="47" t="str">
        <f t="shared" si="21"/>
        <v/>
      </c>
      <c r="J412" s="48"/>
      <c r="K412" s="21" t="str">
        <f t="shared" si="13"/>
        <v/>
      </c>
      <c r="L412" s="21" t="str">
        <f t="shared" si="3"/>
        <v/>
      </c>
      <c r="M412" s="21" t="str">
        <f t="array" ref="M412">IF(H412="","",SUMif(year(N$2:BO$2),M$2,N412:BO412))</f>
        <v/>
      </c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</row>
    <row r="413">
      <c r="A413" s="16" t="str">
        <f t="shared" si="14"/>
        <v/>
      </c>
      <c r="B413" s="16" t="str">
        <f t="shared" si="15"/>
        <v/>
      </c>
      <c r="C413" s="35" t="str">
        <f t="shared" si="16"/>
        <v/>
      </c>
      <c r="D413" s="35" t="str">
        <f t="shared" si="17"/>
        <v/>
      </c>
      <c r="E413" s="35" t="str">
        <f t="shared" si="18"/>
        <v/>
      </c>
      <c r="F413" s="35" t="str">
        <f t="shared" si="19"/>
        <v/>
      </c>
      <c r="G413" s="35" t="str">
        <f t="shared" si="20"/>
        <v/>
      </c>
      <c r="H413" s="25"/>
      <c r="I413" s="47" t="str">
        <f t="shared" si="21"/>
        <v/>
      </c>
      <c r="J413" s="48"/>
      <c r="K413" s="21" t="str">
        <f t="shared" si="13"/>
        <v/>
      </c>
      <c r="L413" s="21" t="str">
        <f t="shared" si="3"/>
        <v/>
      </c>
      <c r="M413" s="21" t="str">
        <f t="array" ref="M413">IF(H413="","",SUMif(year(N$2:BO$2),M$2,N413:BO413))</f>
        <v/>
      </c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</row>
    <row r="414">
      <c r="A414" s="16" t="str">
        <f t="shared" si="14"/>
        <v/>
      </c>
      <c r="B414" s="16" t="str">
        <f t="shared" si="15"/>
        <v/>
      </c>
      <c r="C414" s="35" t="str">
        <f t="shared" si="16"/>
        <v/>
      </c>
      <c r="D414" s="35" t="str">
        <f t="shared" si="17"/>
        <v/>
      </c>
      <c r="E414" s="35" t="str">
        <f t="shared" si="18"/>
        <v/>
      </c>
      <c r="F414" s="35" t="str">
        <f t="shared" si="19"/>
        <v/>
      </c>
      <c r="G414" s="35" t="str">
        <f t="shared" si="20"/>
        <v/>
      </c>
      <c r="H414" s="25"/>
      <c r="I414" s="47" t="str">
        <f t="shared" si="21"/>
        <v/>
      </c>
      <c r="J414" s="48"/>
      <c r="K414" s="21" t="str">
        <f t="shared" si="13"/>
        <v/>
      </c>
      <c r="L414" s="21" t="str">
        <f t="shared" si="3"/>
        <v/>
      </c>
      <c r="M414" s="21" t="str">
        <f t="array" ref="M414">IF(H414="","",SUMif(year(N$2:BO$2),M$2,N414:BO414))</f>
        <v/>
      </c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</row>
    <row r="415">
      <c r="A415" s="16" t="str">
        <f t="shared" si="14"/>
        <v/>
      </c>
      <c r="B415" s="16" t="str">
        <f t="shared" si="15"/>
        <v/>
      </c>
      <c r="C415" s="35" t="str">
        <f t="shared" si="16"/>
        <v/>
      </c>
      <c r="D415" s="35" t="str">
        <f t="shared" si="17"/>
        <v/>
      </c>
      <c r="E415" s="35" t="str">
        <f t="shared" si="18"/>
        <v/>
      </c>
      <c r="F415" s="35" t="str">
        <f t="shared" si="19"/>
        <v/>
      </c>
      <c r="G415" s="35" t="str">
        <f t="shared" si="20"/>
        <v/>
      </c>
      <c r="H415" s="25"/>
      <c r="I415" s="47" t="str">
        <f t="shared" si="21"/>
        <v/>
      </c>
      <c r="J415" s="48"/>
      <c r="K415" s="21" t="str">
        <f t="shared" si="13"/>
        <v/>
      </c>
      <c r="L415" s="21" t="str">
        <f t="shared" si="3"/>
        <v/>
      </c>
      <c r="M415" s="21" t="str">
        <f t="array" ref="M415">IF(H415="","",SUMif(year(N$2:BO$2),M$2,N415:BO415))</f>
        <v/>
      </c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</row>
    <row r="416">
      <c r="A416" s="16" t="str">
        <f t="shared" si="14"/>
        <v/>
      </c>
      <c r="B416" s="16" t="str">
        <f t="shared" si="15"/>
        <v/>
      </c>
      <c r="C416" s="35" t="str">
        <f t="shared" si="16"/>
        <v/>
      </c>
      <c r="D416" s="35" t="str">
        <f t="shared" si="17"/>
        <v/>
      </c>
      <c r="E416" s="35" t="str">
        <f t="shared" si="18"/>
        <v/>
      </c>
      <c r="F416" s="35" t="str">
        <f t="shared" si="19"/>
        <v/>
      </c>
      <c r="G416" s="35" t="str">
        <f t="shared" si="20"/>
        <v/>
      </c>
      <c r="H416" s="25"/>
      <c r="I416" s="47" t="str">
        <f t="shared" si="21"/>
        <v/>
      </c>
      <c r="J416" s="48"/>
      <c r="K416" s="21" t="str">
        <f t="shared" si="13"/>
        <v/>
      </c>
      <c r="L416" s="21" t="str">
        <f t="shared" si="3"/>
        <v/>
      </c>
      <c r="M416" s="21" t="str">
        <f t="array" ref="M416">IF(H416="","",SUMif(year(N$2:BO$2),M$2,N416:BO416))</f>
        <v/>
      </c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</row>
    <row r="417">
      <c r="A417" s="16" t="str">
        <f t="shared" si="14"/>
        <v/>
      </c>
      <c r="B417" s="16" t="str">
        <f t="shared" si="15"/>
        <v/>
      </c>
      <c r="C417" s="35" t="str">
        <f t="shared" si="16"/>
        <v/>
      </c>
      <c r="D417" s="35" t="str">
        <f t="shared" si="17"/>
        <v/>
      </c>
      <c r="E417" s="35" t="str">
        <f t="shared" si="18"/>
        <v/>
      </c>
      <c r="F417" s="35" t="str">
        <f t="shared" si="19"/>
        <v/>
      </c>
      <c r="G417" s="35" t="str">
        <f t="shared" si="20"/>
        <v/>
      </c>
      <c r="H417" s="25"/>
      <c r="I417" s="47" t="str">
        <f t="shared" si="21"/>
        <v/>
      </c>
      <c r="J417" s="48"/>
      <c r="K417" s="21" t="str">
        <f t="shared" si="13"/>
        <v/>
      </c>
      <c r="L417" s="21" t="str">
        <f t="shared" si="3"/>
        <v/>
      </c>
      <c r="M417" s="21" t="str">
        <f t="array" ref="M417">IF(H417="","",SUMif(year(N$2:BO$2),M$2,N417:BO417))</f>
        <v/>
      </c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</row>
    <row r="418">
      <c r="A418" s="16" t="str">
        <f t="shared" si="14"/>
        <v/>
      </c>
      <c r="B418" s="16" t="str">
        <f t="shared" si="15"/>
        <v/>
      </c>
      <c r="C418" s="35" t="str">
        <f t="shared" si="16"/>
        <v/>
      </c>
      <c r="D418" s="35" t="str">
        <f t="shared" si="17"/>
        <v/>
      </c>
      <c r="E418" s="35" t="str">
        <f t="shared" si="18"/>
        <v/>
      </c>
      <c r="F418" s="35" t="str">
        <f t="shared" si="19"/>
        <v/>
      </c>
      <c r="G418" s="35" t="str">
        <f t="shared" si="20"/>
        <v/>
      </c>
      <c r="H418" s="25"/>
      <c r="I418" s="47" t="str">
        <f t="shared" si="21"/>
        <v/>
      </c>
      <c r="J418" s="48"/>
      <c r="K418" s="21" t="str">
        <f t="shared" si="13"/>
        <v/>
      </c>
      <c r="L418" s="21" t="str">
        <f t="shared" si="3"/>
        <v/>
      </c>
      <c r="M418" s="21" t="str">
        <f t="array" ref="M418">IF(H418="","",SUMif(year(N$2:BO$2),M$2,N418:BO418))</f>
        <v/>
      </c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</row>
    <row r="419">
      <c r="A419" s="16" t="str">
        <f t="shared" si="14"/>
        <v/>
      </c>
      <c r="B419" s="16" t="str">
        <f t="shared" si="15"/>
        <v/>
      </c>
      <c r="C419" s="35" t="str">
        <f t="shared" si="16"/>
        <v/>
      </c>
      <c r="D419" s="35" t="str">
        <f t="shared" si="17"/>
        <v/>
      </c>
      <c r="E419" s="35" t="str">
        <f t="shared" si="18"/>
        <v/>
      </c>
      <c r="F419" s="35" t="str">
        <f t="shared" si="19"/>
        <v/>
      </c>
      <c r="G419" s="35" t="str">
        <f t="shared" si="20"/>
        <v/>
      </c>
      <c r="H419" s="25"/>
      <c r="I419" s="47" t="str">
        <f t="shared" si="21"/>
        <v/>
      </c>
      <c r="J419" s="48"/>
      <c r="K419" s="21" t="str">
        <f t="shared" si="13"/>
        <v/>
      </c>
      <c r="L419" s="21" t="str">
        <f t="shared" si="3"/>
        <v/>
      </c>
      <c r="M419" s="21" t="str">
        <f t="array" ref="M419">IF(H419="","",SUMif(year(N$2:BO$2),M$2,N419:BO419))</f>
        <v/>
      </c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</row>
    <row r="420">
      <c r="A420" s="16" t="str">
        <f t="shared" si="14"/>
        <v/>
      </c>
      <c r="B420" s="16" t="str">
        <f t="shared" si="15"/>
        <v/>
      </c>
      <c r="C420" s="35" t="str">
        <f t="shared" si="16"/>
        <v/>
      </c>
      <c r="D420" s="35" t="str">
        <f t="shared" si="17"/>
        <v/>
      </c>
      <c r="E420" s="35" t="str">
        <f t="shared" si="18"/>
        <v/>
      </c>
      <c r="F420" s="35" t="str">
        <f t="shared" si="19"/>
        <v/>
      </c>
      <c r="G420" s="35" t="str">
        <f t="shared" si="20"/>
        <v/>
      </c>
      <c r="H420" s="25"/>
      <c r="I420" s="47" t="str">
        <f t="shared" si="21"/>
        <v/>
      </c>
      <c r="J420" s="48"/>
      <c r="K420" s="21" t="str">
        <f t="shared" si="13"/>
        <v/>
      </c>
      <c r="L420" s="21" t="str">
        <f t="shared" si="3"/>
        <v/>
      </c>
      <c r="M420" s="21" t="str">
        <f t="array" ref="M420">IF(H420="","",SUMif(year(N$2:BO$2),M$2,N420:BO420))</f>
        <v/>
      </c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</row>
    <row r="421">
      <c r="A421" s="16" t="str">
        <f t="shared" si="14"/>
        <v/>
      </c>
      <c r="B421" s="16" t="str">
        <f t="shared" si="15"/>
        <v/>
      </c>
      <c r="C421" s="35" t="str">
        <f t="shared" si="16"/>
        <v/>
      </c>
      <c r="D421" s="35" t="str">
        <f t="shared" si="17"/>
        <v/>
      </c>
      <c r="E421" s="35" t="str">
        <f t="shared" si="18"/>
        <v/>
      </c>
      <c r="F421" s="35" t="str">
        <f t="shared" si="19"/>
        <v/>
      </c>
      <c r="G421" s="35" t="str">
        <f t="shared" si="20"/>
        <v/>
      </c>
      <c r="H421" s="25"/>
      <c r="I421" s="47" t="str">
        <f t="shared" si="21"/>
        <v/>
      </c>
      <c r="J421" s="48"/>
      <c r="K421" s="21" t="str">
        <f t="shared" si="13"/>
        <v/>
      </c>
      <c r="L421" s="21" t="str">
        <f t="shared" si="3"/>
        <v/>
      </c>
      <c r="M421" s="21" t="str">
        <f t="array" ref="M421">IF(H421="","",SUMif(year(N$2:BO$2),M$2,N421:BO421))</f>
        <v/>
      </c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</row>
    <row r="422">
      <c r="A422" s="16" t="str">
        <f t="shared" si="14"/>
        <v/>
      </c>
      <c r="B422" s="16" t="str">
        <f t="shared" si="15"/>
        <v/>
      </c>
      <c r="C422" s="35" t="str">
        <f t="shared" si="16"/>
        <v/>
      </c>
      <c r="D422" s="35" t="str">
        <f t="shared" si="17"/>
        <v/>
      </c>
      <c r="E422" s="35" t="str">
        <f t="shared" si="18"/>
        <v/>
      </c>
      <c r="F422" s="35" t="str">
        <f t="shared" si="19"/>
        <v/>
      </c>
      <c r="G422" s="35" t="str">
        <f t="shared" si="20"/>
        <v/>
      </c>
      <c r="H422" s="25"/>
      <c r="I422" s="47" t="str">
        <f t="shared" si="21"/>
        <v/>
      </c>
      <c r="J422" s="48"/>
      <c r="K422" s="21" t="str">
        <f t="shared" si="13"/>
        <v/>
      </c>
      <c r="L422" s="21" t="str">
        <f t="shared" si="3"/>
        <v/>
      </c>
      <c r="M422" s="21" t="str">
        <f t="array" ref="M422">IF(H422="","",SUMif(year(N$2:BO$2),M$2,N422:BO422))</f>
        <v/>
      </c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</row>
    <row r="423">
      <c r="A423" s="16" t="str">
        <f t="shared" si="14"/>
        <v/>
      </c>
      <c r="B423" s="16" t="str">
        <f t="shared" si="15"/>
        <v/>
      </c>
      <c r="C423" s="35" t="str">
        <f t="shared" si="16"/>
        <v/>
      </c>
      <c r="D423" s="35" t="str">
        <f t="shared" si="17"/>
        <v/>
      </c>
      <c r="E423" s="35" t="str">
        <f t="shared" si="18"/>
        <v/>
      </c>
      <c r="F423" s="35" t="str">
        <f t="shared" si="19"/>
        <v/>
      </c>
      <c r="G423" s="35" t="str">
        <f t="shared" si="20"/>
        <v/>
      </c>
      <c r="H423" s="25"/>
      <c r="I423" s="47" t="str">
        <f t="shared" si="21"/>
        <v/>
      </c>
      <c r="J423" s="48"/>
      <c r="K423" s="21" t="str">
        <f t="shared" si="13"/>
        <v/>
      </c>
      <c r="L423" s="21" t="str">
        <f t="shared" si="3"/>
        <v/>
      </c>
      <c r="M423" s="21" t="str">
        <f t="array" ref="M423">IF(H423="","",SUMif(year(N$2:BO$2),M$2,N423:BO423))</f>
        <v/>
      </c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</row>
    <row r="424">
      <c r="A424" s="16" t="str">
        <f t="shared" si="14"/>
        <v/>
      </c>
      <c r="B424" s="16" t="str">
        <f t="shared" si="15"/>
        <v/>
      </c>
      <c r="C424" s="35" t="str">
        <f t="shared" si="16"/>
        <v/>
      </c>
      <c r="D424" s="35" t="str">
        <f t="shared" si="17"/>
        <v/>
      </c>
      <c r="E424" s="35" t="str">
        <f t="shared" si="18"/>
        <v/>
      </c>
      <c r="F424" s="35" t="str">
        <f t="shared" si="19"/>
        <v/>
      </c>
      <c r="G424" s="35" t="str">
        <f t="shared" si="20"/>
        <v/>
      </c>
      <c r="H424" s="25"/>
      <c r="I424" s="47" t="str">
        <f t="shared" si="21"/>
        <v/>
      </c>
      <c r="J424" s="48"/>
      <c r="K424" s="21" t="str">
        <f t="shared" si="13"/>
        <v/>
      </c>
      <c r="L424" s="21" t="str">
        <f t="shared" si="3"/>
        <v/>
      </c>
      <c r="M424" s="21" t="str">
        <f t="array" ref="M424">IF(H424="","",SUMif(year(N$2:BO$2),M$2,N424:BO424))</f>
        <v/>
      </c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</row>
    <row r="425">
      <c r="A425" s="16" t="str">
        <f t="shared" si="14"/>
        <v/>
      </c>
      <c r="B425" s="16" t="str">
        <f t="shared" si="15"/>
        <v/>
      </c>
      <c r="C425" s="35" t="str">
        <f t="shared" si="16"/>
        <v/>
      </c>
      <c r="D425" s="35" t="str">
        <f t="shared" si="17"/>
        <v/>
      </c>
      <c r="E425" s="35" t="str">
        <f t="shared" si="18"/>
        <v/>
      </c>
      <c r="F425" s="35" t="str">
        <f t="shared" si="19"/>
        <v/>
      </c>
      <c r="G425" s="35" t="str">
        <f t="shared" si="20"/>
        <v/>
      </c>
      <c r="H425" s="25"/>
      <c r="I425" s="47" t="str">
        <f t="shared" si="21"/>
        <v/>
      </c>
      <c r="J425" s="48"/>
      <c r="K425" s="21" t="str">
        <f t="shared" si="13"/>
        <v/>
      </c>
      <c r="L425" s="21" t="str">
        <f t="shared" si="3"/>
        <v/>
      </c>
      <c r="M425" s="21" t="str">
        <f t="array" ref="M425">IF(H425="","",SUMif(year(N$2:BO$2),M$2,N425:BO425))</f>
        <v/>
      </c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</row>
    <row r="426">
      <c r="A426" s="16" t="str">
        <f t="shared" si="14"/>
        <v/>
      </c>
      <c r="B426" s="16" t="str">
        <f t="shared" si="15"/>
        <v/>
      </c>
      <c r="C426" s="35" t="str">
        <f t="shared" si="16"/>
        <v/>
      </c>
      <c r="D426" s="35" t="str">
        <f t="shared" si="17"/>
        <v/>
      </c>
      <c r="E426" s="35" t="str">
        <f t="shared" si="18"/>
        <v/>
      </c>
      <c r="F426" s="35" t="str">
        <f t="shared" si="19"/>
        <v/>
      </c>
      <c r="G426" s="35" t="str">
        <f t="shared" si="20"/>
        <v/>
      </c>
      <c r="H426" s="25"/>
      <c r="I426" s="47" t="str">
        <f t="shared" si="21"/>
        <v/>
      </c>
      <c r="J426" s="48"/>
      <c r="K426" s="21" t="str">
        <f t="shared" si="13"/>
        <v/>
      </c>
      <c r="L426" s="21" t="str">
        <f t="shared" si="3"/>
        <v/>
      </c>
      <c r="M426" s="21" t="str">
        <f t="array" ref="M426">IF(H426="","",SUMif(year(N$2:BO$2),M$2,N426:BO426))</f>
        <v/>
      </c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</row>
    <row r="427">
      <c r="A427" s="16" t="str">
        <f t="shared" si="14"/>
        <v/>
      </c>
      <c r="B427" s="16" t="str">
        <f t="shared" si="15"/>
        <v/>
      </c>
      <c r="C427" s="35" t="str">
        <f t="shared" si="16"/>
        <v/>
      </c>
      <c r="D427" s="35" t="str">
        <f t="shared" si="17"/>
        <v/>
      </c>
      <c r="E427" s="35" t="str">
        <f t="shared" si="18"/>
        <v/>
      </c>
      <c r="F427" s="35" t="str">
        <f t="shared" si="19"/>
        <v/>
      </c>
      <c r="G427" s="35" t="str">
        <f t="shared" si="20"/>
        <v/>
      </c>
      <c r="H427" s="25"/>
      <c r="I427" s="47" t="str">
        <f t="shared" si="21"/>
        <v/>
      </c>
      <c r="J427" s="48"/>
      <c r="K427" s="21" t="str">
        <f t="shared" si="13"/>
        <v/>
      </c>
      <c r="L427" s="21" t="str">
        <f t="shared" si="3"/>
        <v/>
      </c>
      <c r="M427" s="21" t="str">
        <f t="array" ref="M427">IF(H427="","",SUMif(year(N$2:BO$2),M$2,N427:BO427))</f>
        <v/>
      </c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</row>
    <row r="428">
      <c r="A428" s="16" t="str">
        <f t="shared" si="14"/>
        <v/>
      </c>
      <c r="B428" s="16" t="str">
        <f t="shared" si="15"/>
        <v/>
      </c>
      <c r="C428" s="35" t="str">
        <f t="shared" si="16"/>
        <v/>
      </c>
      <c r="D428" s="35" t="str">
        <f t="shared" si="17"/>
        <v/>
      </c>
      <c r="E428" s="35" t="str">
        <f t="shared" si="18"/>
        <v/>
      </c>
      <c r="F428" s="35" t="str">
        <f t="shared" si="19"/>
        <v/>
      </c>
      <c r="G428" s="35" t="str">
        <f t="shared" si="20"/>
        <v/>
      </c>
      <c r="H428" s="25"/>
      <c r="I428" s="47" t="str">
        <f t="shared" si="21"/>
        <v/>
      </c>
      <c r="J428" s="48"/>
      <c r="K428" s="21" t="str">
        <f t="shared" si="13"/>
        <v/>
      </c>
      <c r="L428" s="21" t="str">
        <f t="shared" si="3"/>
        <v/>
      </c>
      <c r="M428" s="21" t="str">
        <f t="array" ref="M428">IF(H428="","",SUMif(year(N$2:BO$2),M$2,N428:BO428))</f>
        <v/>
      </c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</row>
    <row r="429">
      <c r="A429" s="16" t="str">
        <f t="shared" si="14"/>
        <v/>
      </c>
      <c r="B429" s="16" t="str">
        <f t="shared" si="15"/>
        <v/>
      </c>
      <c r="C429" s="35" t="str">
        <f t="shared" si="16"/>
        <v/>
      </c>
      <c r="D429" s="35" t="str">
        <f t="shared" si="17"/>
        <v/>
      </c>
      <c r="E429" s="35" t="str">
        <f t="shared" si="18"/>
        <v/>
      </c>
      <c r="F429" s="35" t="str">
        <f t="shared" si="19"/>
        <v/>
      </c>
      <c r="G429" s="35" t="str">
        <f t="shared" si="20"/>
        <v/>
      </c>
      <c r="H429" s="25"/>
      <c r="I429" s="47" t="str">
        <f t="shared" si="21"/>
        <v/>
      </c>
      <c r="J429" s="48"/>
      <c r="K429" s="21" t="str">
        <f t="shared" si="13"/>
        <v/>
      </c>
      <c r="L429" s="21" t="str">
        <f t="shared" si="3"/>
        <v/>
      </c>
      <c r="M429" s="21" t="str">
        <f t="array" ref="M429">IF(H429="","",SUMif(year(N$2:BO$2),M$2,N429:BO429))</f>
        <v/>
      </c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</row>
    <row r="430">
      <c r="A430" s="16" t="str">
        <f t="shared" si="14"/>
        <v/>
      </c>
      <c r="B430" s="16" t="str">
        <f t="shared" si="15"/>
        <v/>
      </c>
      <c r="C430" s="35" t="str">
        <f t="shared" si="16"/>
        <v/>
      </c>
      <c r="D430" s="35" t="str">
        <f t="shared" si="17"/>
        <v/>
      </c>
      <c r="E430" s="35" t="str">
        <f t="shared" si="18"/>
        <v/>
      </c>
      <c r="F430" s="35" t="str">
        <f t="shared" si="19"/>
        <v/>
      </c>
      <c r="G430" s="35" t="str">
        <f t="shared" si="20"/>
        <v/>
      </c>
      <c r="H430" s="25"/>
      <c r="I430" s="47" t="str">
        <f t="shared" si="21"/>
        <v/>
      </c>
      <c r="J430" s="48"/>
      <c r="K430" s="21" t="str">
        <f t="shared" si="13"/>
        <v/>
      </c>
      <c r="L430" s="21" t="str">
        <f t="shared" si="3"/>
        <v/>
      </c>
      <c r="M430" s="21" t="str">
        <f t="array" ref="M430">IF(H430="","",SUMif(year(N$2:BO$2),M$2,N430:BO430))</f>
        <v/>
      </c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</row>
    <row r="431">
      <c r="A431" s="16" t="str">
        <f t="shared" si="14"/>
        <v/>
      </c>
      <c r="B431" s="16" t="str">
        <f t="shared" si="15"/>
        <v/>
      </c>
      <c r="C431" s="35" t="str">
        <f t="shared" si="16"/>
        <v/>
      </c>
      <c r="D431" s="35" t="str">
        <f t="shared" si="17"/>
        <v/>
      </c>
      <c r="E431" s="35" t="str">
        <f t="shared" si="18"/>
        <v/>
      </c>
      <c r="F431" s="35" t="str">
        <f t="shared" si="19"/>
        <v/>
      </c>
      <c r="G431" s="35" t="str">
        <f t="shared" si="20"/>
        <v/>
      </c>
      <c r="H431" s="25"/>
      <c r="I431" s="47" t="str">
        <f t="shared" si="21"/>
        <v/>
      </c>
      <c r="J431" s="48"/>
      <c r="K431" s="21" t="str">
        <f t="shared" si="13"/>
        <v/>
      </c>
      <c r="L431" s="21" t="str">
        <f t="shared" si="3"/>
        <v/>
      </c>
      <c r="M431" s="21" t="str">
        <f t="array" ref="M431">IF(H431="","",SUMif(year(N$2:BO$2),M$2,N431:BO431))</f>
        <v/>
      </c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</row>
    <row r="432">
      <c r="A432" s="16" t="str">
        <f t="shared" si="14"/>
        <v/>
      </c>
      <c r="B432" s="16" t="str">
        <f t="shared" si="15"/>
        <v/>
      </c>
      <c r="C432" s="35" t="str">
        <f t="shared" si="16"/>
        <v/>
      </c>
      <c r="D432" s="35" t="str">
        <f t="shared" si="17"/>
        <v/>
      </c>
      <c r="E432" s="35" t="str">
        <f t="shared" si="18"/>
        <v/>
      </c>
      <c r="F432" s="35" t="str">
        <f t="shared" si="19"/>
        <v/>
      </c>
      <c r="G432" s="35" t="str">
        <f t="shared" si="20"/>
        <v/>
      </c>
      <c r="H432" s="25"/>
      <c r="I432" s="47" t="str">
        <f t="shared" si="21"/>
        <v/>
      </c>
      <c r="J432" s="48"/>
      <c r="K432" s="21" t="str">
        <f t="shared" si="13"/>
        <v/>
      </c>
      <c r="L432" s="21" t="str">
        <f t="shared" si="3"/>
        <v/>
      </c>
      <c r="M432" s="21" t="str">
        <f t="array" ref="M432">IF(H432="","",SUMif(year(N$2:BO$2),M$2,N432:BO432))</f>
        <v/>
      </c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</row>
    <row r="433">
      <c r="A433" s="16" t="str">
        <f t="shared" si="14"/>
        <v/>
      </c>
      <c r="B433" s="16" t="str">
        <f t="shared" si="15"/>
        <v/>
      </c>
      <c r="C433" s="35" t="str">
        <f t="shared" si="16"/>
        <v/>
      </c>
      <c r="D433" s="35" t="str">
        <f t="shared" si="17"/>
        <v/>
      </c>
      <c r="E433" s="35" t="str">
        <f t="shared" si="18"/>
        <v/>
      </c>
      <c r="F433" s="35" t="str">
        <f t="shared" si="19"/>
        <v/>
      </c>
      <c r="G433" s="35" t="str">
        <f t="shared" si="20"/>
        <v/>
      </c>
      <c r="H433" s="25"/>
      <c r="I433" s="47" t="str">
        <f t="shared" si="21"/>
        <v/>
      </c>
      <c r="J433" s="48"/>
      <c r="K433" s="21" t="str">
        <f t="shared" si="13"/>
        <v/>
      </c>
      <c r="L433" s="21" t="str">
        <f t="shared" si="3"/>
        <v/>
      </c>
      <c r="M433" s="21" t="str">
        <f t="array" ref="M433">IF(H433="","",SUMif(year(N$2:BO$2),M$2,N433:BO433))</f>
        <v/>
      </c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</row>
    <row r="434">
      <c r="A434" s="16" t="str">
        <f t="shared" si="14"/>
        <v/>
      </c>
      <c r="B434" s="16" t="str">
        <f t="shared" si="15"/>
        <v/>
      </c>
      <c r="C434" s="35" t="str">
        <f t="shared" si="16"/>
        <v/>
      </c>
      <c r="D434" s="35" t="str">
        <f t="shared" si="17"/>
        <v/>
      </c>
      <c r="E434" s="35" t="str">
        <f t="shared" si="18"/>
        <v/>
      </c>
      <c r="F434" s="35" t="str">
        <f t="shared" si="19"/>
        <v/>
      </c>
      <c r="G434" s="35" t="str">
        <f t="shared" si="20"/>
        <v/>
      </c>
      <c r="H434" s="25"/>
      <c r="I434" s="47" t="str">
        <f t="shared" si="21"/>
        <v/>
      </c>
      <c r="J434" s="48"/>
      <c r="K434" s="21" t="str">
        <f t="shared" si="13"/>
        <v/>
      </c>
      <c r="L434" s="21" t="str">
        <f t="shared" si="3"/>
        <v/>
      </c>
      <c r="M434" s="21" t="str">
        <f t="array" ref="M434">IF(H434="","",SUMif(year(N$2:BO$2),M$2,N434:BO434))</f>
        <v/>
      </c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</row>
    <row r="435">
      <c r="A435" s="16" t="str">
        <f t="shared" si="14"/>
        <v/>
      </c>
      <c r="B435" s="16" t="str">
        <f t="shared" si="15"/>
        <v/>
      </c>
      <c r="C435" s="35" t="str">
        <f t="shared" si="16"/>
        <v/>
      </c>
      <c r="D435" s="35" t="str">
        <f t="shared" si="17"/>
        <v/>
      </c>
      <c r="E435" s="35" t="str">
        <f t="shared" si="18"/>
        <v/>
      </c>
      <c r="F435" s="35" t="str">
        <f t="shared" si="19"/>
        <v/>
      </c>
      <c r="G435" s="35" t="str">
        <f t="shared" si="20"/>
        <v/>
      </c>
      <c r="H435" s="25"/>
      <c r="I435" s="47" t="str">
        <f t="shared" si="21"/>
        <v/>
      </c>
      <c r="J435" s="48"/>
      <c r="K435" s="21" t="str">
        <f t="shared" si="13"/>
        <v/>
      </c>
      <c r="L435" s="21" t="str">
        <f t="shared" si="3"/>
        <v/>
      </c>
      <c r="M435" s="21" t="str">
        <f t="array" ref="M435">IF(H435="","",SUMif(year(N$2:BO$2),M$2,N435:BO435))</f>
        <v/>
      </c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</row>
    <row r="436">
      <c r="A436" s="16" t="str">
        <f t="shared" si="14"/>
        <v/>
      </c>
      <c r="B436" s="16" t="str">
        <f t="shared" si="15"/>
        <v/>
      </c>
      <c r="C436" s="35" t="str">
        <f t="shared" si="16"/>
        <v/>
      </c>
      <c r="D436" s="35" t="str">
        <f t="shared" si="17"/>
        <v/>
      </c>
      <c r="E436" s="35" t="str">
        <f t="shared" si="18"/>
        <v/>
      </c>
      <c r="F436" s="35" t="str">
        <f t="shared" si="19"/>
        <v/>
      </c>
      <c r="G436" s="35" t="str">
        <f t="shared" si="20"/>
        <v/>
      </c>
      <c r="H436" s="25"/>
      <c r="I436" s="47" t="str">
        <f t="shared" si="21"/>
        <v/>
      </c>
      <c r="J436" s="48"/>
      <c r="K436" s="21" t="str">
        <f t="shared" si="13"/>
        <v/>
      </c>
      <c r="L436" s="21" t="str">
        <f t="shared" si="3"/>
        <v/>
      </c>
      <c r="M436" s="21" t="str">
        <f t="array" ref="M436">IF(H436="","",SUMif(year(N$2:BO$2),M$2,N436:BO436))</f>
        <v/>
      </c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</row>
    <row r="437">
      <c r="A437" s="16" t="str">
        <f t="shared" si="14"/>
        <v/>
      </c>
      <c r="B437" s="16" t="str">
        <f t="shared" si="15"/>
        <v/>
      </c>
      <c r="C437" s="35" t="str">
        <f t="shared" si="16"/>
        <v/>
      </c>
      <c r="D437" s="35" t="str">
        <f t="shared" si="17"/>
        <v/>
      </c>
      <c r="E437" s="35" t="str">
        <f t="shared" si="18"/>
        <v/>
      </c>
      <c r="F437" s="35" t="str">
        <f t="shared" si="19"/>
        <v/>
      </c>
      <c r="G437" s="35" t="str">
        <f t="shared" si="20"/>
        <v/>
      </c>
      <c r="H437" s="25"/>
      <c r="I437" s="47" t="str">
        <f t="shared" si="21"/>
        <v/>
      </c>
      <c r="J437" s="48"/>
      <c r="K437" s="21" t="str">
        <f t="shared" si="13"/>
        <v/>
      </c>
      <c r="L437" s="21" t="str">
        <f t="shared" si="3"/>
        <v/>
      </c>
      <c r="M437" s="21" t="str">
        <f t="array" ref="M437">IF(H437="","",SUMif(year(N$2:BO$2),M$2,N437:BO437))</f>
        <v/>
      </c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</row>
    <row r="438">
      <c r="A438" s="16" t="str">
        <f t="shared" si="14"/>
        <v/>
      </c>
      <c r="B438" s="16" t="str">
        <f t="shared" si="15"/>
        <v/>
      </c>
      <c r="C438" s="35" t="str">
        <f t="shared" si="16"/>
        <v/>
      </c>
      <c r="D438" s="35" t="str">
        <f t="shared" si="17"/>
        <v/>
      </c>
      <c r="E438" s="35" t="str">
        <f t="shared" si="18"/>
        <v/>
      </c>
      <c r="F438" s="35" t="str">
        <f t="shared" si="19"/>
        <v/>
      </c>
      <c r="G438" s="35" t="str">
        <f t="shared" si="20"/>
        <v/>
      </c>
      <c r="H438" s="25"/>
      <c r="I438" s="47" t="str">
        <f t="shared" si="21"/>
        <v/>
      </c>
      <c r="J438" s="48"/>
      <c r="K438" s="21" t="str">
        <f t="shared" si="13"/>
        <v/>
      </c>
      <c r="L438" s="21" t="str">
        <f t="shared" si="3"/>
        <v/>
      </c>
      <c r="M438" s="21" t="str">
        <f t="array" ref="M438">IF(H438="","",SUMif(year(N$2:BO$2),M$2,N438:BO438))</f>
        <v/>
      </c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</row>
    <row r="439">
      <c r="A439" s="16" t="str">
        <f t="shared" si="14"/>
        <v/>
      </c>
      <c r="B439" s="16" t="str">
        <f t="shared" si="15"/>
        <v/>
      </c>
      <c r="C439" s="35" t="str">
        <f t="shared" si="16"/>
        <v/>
      </c>
      <c r="D439" s="35" t="str">
        <f t="shared" si="17"/>
        <v/>
      </c>
      <c r="E439" s="35" t="str">
        <f t="shared" si="18"/>
        <v/>
      </c>
      <c r="F439" s="35" t="str">
        <f t="shared" si="19"/>
        <v/>
      </c>
      <c r="G439" s="35" t="str">
        <f t="shared" si="20"/>
        <v/>
      </c>
      <c r="H439" s="25"/>
      <c r="I439" s="47" t="str">
        <f t="shared" si="21"/>
        <v/>
      </c>
      <c r="J439" s="48"/>
      <c r="K439" s="21" t="str">
        <f t="shared" si="13"/>
        <v/>
      </c>
      <c r="L439" s="21" t="str">
        <f t="shared" si="3"/>
        <v/>
      </c>
      <c r="M439" s="21" t="str">
        <f t="array" ref="M439">IF(H439="","",SUMif(year(N$2:BO$2),M$2,N439:BO439))</f>
        <v/>
      </c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</row>
    <row r="440">
      <c r="A440" s="16" t="str">
        <f t="shared" si="14"/>
        <v/>
      </c>
      <c r="B440" s="16" t="str">
        <f t="shared" si="15"/>
        <v/>
      </c>
      <c r="C440" s="35" t="str">
        <f t="shared" si="16"/>
        <v/>
      </c>
      <c r="D440" s="35" t="str">
        <f t="shared" si="17"/>
        <v/>
      </c>
      <c r="E440" s="35" t="str">
        <f t="shared" si="18"/>
        <v/>
      </c>
      <c r="F440" s="35" t="str">
        <f t="shared" si="19"/>
        <v/>
      </c>
      <c r="G440" s="35" t="str">
        <f t="shared" si="20"/>
        <v/>
      </c>
      <c r="H440" s="25"/>
      <c r="I440" s="47" t="str">
        <f t="shared" si="21"/>
        <v/>
      </c>
      <c r="J440" s="48"/>
      <c r="K440" s="21" t="str">
        <f t="shared" si="13"/>
        <v/>
      </c>
      <c r="L440" s="21" t="str">
        <f t="shared" si="3"/>
        <v/>
      </c>
      <c r="M440" s="21" t="str">
        <f t="array" ref="M440">IF(H440="","",SUMif(year(N$2:BO$2),M$2,N440:BO440))</f>
        <v/>
      </c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</row>
    <row r="441">
      <c r="A441" s="16" t="str">
        <f t="shared" si="14"/>
        <v/>
      </c>
      <c r="B441" s="16" t="str">
        <f t="shared" si="15"/>
        <v/>
      </c>
      <c r="C441" s="35" t="str">
        <f t="shared" si="16"/>
        <v/>
      </c>
      <c r="D441" s="35" t="str">
        <f t="shared" si="17"/>
        <v/>
      </c>
      <c r="E441" s="35" t="str">
        <f t="shared" si="18"/>
        <v/>
      </c>
      <c r="F441" s="35" t="str">
        <f t="shared" si="19"/>
        <v/>
      </c>
      <c r="G441" s="35" t="str">
        <f t="shared" si="20"/>
        <v/>
      </c>
      <c r="H441" s="25"/>
      <c r="I441" s="47" t="str">
        <f t="shared" si="21"/>
        <v/>
      </c>
      <c r="J441" s="48"/>
      <c r="K441" s="21" t="str">
        <f t="shared" si="13"/>
        <v/>
      </c>
      <c r="L441" s="21" t="str">
        <f t="shared" si="3"/>
        <v/>
      </c>
      <c r="M441" s="21" t="str">
        <f t="array" ref="M441">IF(H441="","",SUMif(year(N$2:BO$2),M$2,N441:BO441))</f>
        <v/>
      </c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</row>
    <row r="442">
      <c r="A442" s="16" t="str">
        <f t="shared" si="14"/>
        <v/>
      </c>
      <c r="B442" s="16" t="str">
        <f t="shared" si="15"/>
        <v/>
      </c>
      <c r="C442" s="35" t="str">
        <f t="shared" si="16"/>
        <v/>
      </c>
      <c r="D442" s="35" t="str">
        <f t="shared" si="17"/>
        <v/>
      </c>
      <c r="E442" s="35" t="str">
        <f t="shared" si="18"/>
        <v/>
      </c>
      <c r="F442" s="35" t="str">
        <f t="shared" si="19"/>
        <v/>
      </c>
      <c r="G442" s="35" t="str">
        <f t="shared" si="20"/>
        <v/>
      </c>
      <c r="H442" s="25"/>
      <c r="I442" s="47" t="str">
        <f t="shared" si="21"/>
        <v/>
      </c>
      <c r="J442" s="48"/>
      <c r="K442" s="21" t="str">
        <f t="shared" si="13"/>
        <v/>
      </c>
      <c r="L442" s="21" t="str">
        <f t="shared" si="3"/>
        <v/>
      </c>
      <c r="M442" s="21" t="str">
        <f t="array" ref="M442">IF(H442="","",SUMif(year(N$2:BO$2),M$2,N442:BO442))</f>
        <v/>
      </c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</row>
    <row r="443">
      <c r="A443" s="16" t="str">
        <f t="shared" si="14"/>
        <v/>
      </c>
      <c r="B443" s="16" t="str">
        <f t="shared" si="15"/>
        <v/>
      </c>
      <c r="C443" s="35" t="str">
        <f t="shared" si="16"/>
        <v/>
      </c>
      <c r="D443" s="35" t="str">
        <f t="shared" si="17"/>
        <v/>
      </c>
      <c r="E443" s="35" t="str">
        <f t="shared" si="18"/>
        <v/>
      </c>
      <c r="F443" s="35" t="str">
        <f t="shared" si="19"/>
        <v/>
      </c>
      <c r="G443" s="35" t="str">
        <f t="shared" si="20"/>
        <v/>
      </c>
      <c r="H443" s="25"/>
      <c r="I443" s="47" t="str">
        <f t="shared" si="21"/>
        <v/>
      </c>
      <c r="J443" s="48"/>
      <c r="K443" s="21" t="str">
        <f t="shared" si="13"/>
        <v/>
      </c>
      <c r="L443" s="21" t="str">
        <f t="shared" si="3"/>
        <v/>
      </c>
      <c r="M443" s="21" t="str">
        <f t="array" ref="M443">IF(H443="","",SUMif(year(N$2:BO$2),M$2,N443:BO443))</f>
        <v/>
      </c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</row>
    <row r="444">
      <c r="A444" s="16" t="str">
        <f t="shared" si="14"/>
        <v/>
      </c>
      <c r="B444" s="16" t="str">
        <f t="shared" si="15"/>
        <v/>
      </c>
      <c r="C444" s="35" t="str">
        <f t="shared" si="16"/>
        <v/>
      </c>
      <c r="D444" s="35" t="str">
        <f t="shared" si="17"/>
        <v/>
      </c>
      <c r="E444" s="35" t="str">
        <f t="shared" si="18"/>
        <v/>
      </c>
      <c r="F444" s="35" t="str">
        <f t="shared" si="19"/>
        <v/>
      </c>
      <c r="G444" s="35" t="str">
        <f t="shared" si="20"/>
        <v/>
      </c>
      <c r="H444" s="25"/>
      <c r="I444" s="47" t="str">
        <f t="shared" si="21"/>
        <v/>
      </c>
      <c r="J444" s="48"/>
      <c r="K444" s="21" t="str">
        <f t="shared" si="13"/>
        <v/>
      </c>
      <c r="L444" s="21" t="str">
        <f t="shared" si="3"/>
        <v/>
      </c>
      <c r="M444" s="21" t="str">
        <f t="array" ref="M444">IF(H444="","",SUMif(year(N$2:BO$2),M$2,N444:BO444))</f>
        <v/>
      </c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</row>
    <row r="445">
      <c r="A445" s="16" t="str">
        <f t="shared" si="14"/>
        <v/>
      </c>
      <c r="B445" s="16" t="str">
        <f t="shared" si="15"/>
        <v/>
      </c>
      <c r="C445" s="35" t="str">
        <f t="shared" si="16"/>
        <v/>
      </c>
      <c r="D445" s="35" t="str">
        <f t="shared" si="17"/>
        <v/>
      </c>
      <c r="E445" s="35" t="str">
        <f t="shared" si="18"/>
        <v/>
      </c>
      <c r="F445" s="35" t="str">
        <f t="shared" si="19"/>
        <v/>
      </c>
      <c r="G445" s="35" t="str">
        <f t="shared" si="20"/>
        <v/>
      </c>
      <c r="H445" s="25"/>
      <c r="I445" s="47" t="str">
        <f t="shared" si="21"/>
        <v/>
      </c>
      <c r="J445" s="48"/>
      <c r="K445" s="21" t="str">
        <f t="shared" si="13"/>
        <v/>
      </c>
      <c r="L445" s="21" t="str">
        <f t="shared" si="3"/>
        <v/>
      </c>
      <c r="M445" s="21" t="str">
        <f t="array" ref="M445">IF(H445="","",SUMif(year(N$2:BO$2),M$2,N445:BO445))</f>
        <v/>
      </c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</row>
    <row r="446">
      <c r="A446" s="16" t="str">
        <f t="shared" si="14"/>
        <v/>
      </c>
      <c r="B446" s="16" t="str">
        <f t="shared" si="15"/>
        <v/>
      </c>
      <c r="C446" s="35" t="str">
        <f t="shared" si="16"/>
        <v/>
      </c>
      <c r="D446" s="35" t="str">
        <f t="shared" si="17"/>
        <v/>
      </c>
      <c r="E446" s="35" t="str">
        <f t="shared" si="18"/>
        <v/>
      </c>
      <c r="F446" s="35" t="str">
        <f t="shared" si="19"/>
        <v/>
      </c>
      <c r="G446" s="35" t="str">
        <f t="shared" si="20"/>
        <v/>
      </c>
      <c r="H446" s="25"/>
      <c r="I446" s="47" t="str">
        <f t="shared" si="21"/>
        <v/>
      </c>
      <c r="J446" s="48"/>
      <c r="K446" s="21" t="str">
        <f t="shared" si="13"/>
        <v/>
      </c>
      <c r="L446" s="21" t="str">
        <f t="shared" si="3"/>
        <v/>
      </c>
      <c r="M446" s="21" t="str">
        <f t="array" ref="M446">IF(H446="","",SUMif(year(N$2:BO$2),M$2,N446:BO446))</f>
        <v/>
      </c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</row>
    <row r="447">
      <c r="A447" s="16" t="str">
        <f t="shared" si="14"/>
        <v/>
      </c>
      <c r="B447" s="16" t="str">
        <f t="shared" si="15"/>
        <v/>
      </c>
      <c r="C447" s="35" t="str">
        <f t="shared" si="16"/>
        <v/>
      </c>
      <c r="D447" s="35" t="str">
        <f t="shared" si="17"/>
        <v/>
      </c>
      <c r="E447" s="35" t="str">
        <f t="shared" si="18"/>
        <v/>
      </c>
      <c r="F447" s="35" t="str">
        <f t="shared" si="19"/>
        <v/>
      </c>
      <c r="G447" s="35" t="str">
        <f t="shared" si="20"/>
        <v/>
      </c>
      <c r="H447" s="25"/>
      <c r="I447" s="47" t="str">
        <f t="shared" si="21"/>
        <v/>
      </c>
      <c r="J447" s="48"/>
      <c r="K447" s="21" t="str">
        <f t="shared" si="13"/>
        <v/>
      </c>
      <c r="L447" s="21" t="str">
        <f t="shared" si="3"/>
        <v/>
      </c>
      <c r="M447" s="21" t="str">
        <f t="array" ref="M447">IF(H447="","",SUMif(year(N$2:BO$2),M$2,N447:BO447))</f>
        <v/>
      </c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</row>
    <row r="448">
      <c r="A448" s="16" t="str">
        <f t="shared" si="14"/>
        <v/>
      </c>
      <c r="B448" s="16" t="str">
        <f t="shared" si="15"/>
        <v/>
      </c>
      <c r="C448" s="35" t="str">
        <f t="shared" si="16"/>
        <v/>
      </c>
      <c r="D448" s="35" t="str">
        <f t="shared" si="17"/>
        <v/>
      </c>
      <c r="E448" s="35" t="str">
        <f t="shared" si="18"/>
        <v/>
      </c>
      <c r="F448" s="35" t="str">
        <f t="shared" si="19"/>
        <v/>
      </c>
      <c r="G448" s="35" t="str">
        <f t="shared" si="20"/>
        <v/>
      </c>
      <c r="H448" s="25"/>
      <c r="I448" s="47" t="str">
        <f t="shared" si="21"/>
        <v/>
      </c>
      <c r="J448" s="48"/>
      <c r="K448" s="21" t="str">
        <f t="shared" si="13"/>
        <v/>
      </c>
      <c r="L448" s="21" t="str">
        <f t="shared" si="3"/>
        <v/>
      </c>
      <c r="M448" s="21" t="str">
        <f t="array" ref="M448">IF(H448="","",SUMif(year(N$2:BO$2),M$2,N448:BO448))</f>
        <v/>
      </c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</row>
    <row r="449">
      <c r="A449" s="16" t="str">
        <f t="shared" si="14"/>
        <v/>
      </c>
      <c r="B449" s="16" t="str">
        <f t="shared" si="15"/>
        <v/>
      </c>
      <c r="C449" s="35" t="str">
        <f t="shared" si="16"/>
        <v/>
      </c>
      <c r="D449" s="35" t="str">
        <f t="shared" si="17"/>
        <v/>
      </c>
      <c r="E449" s="35" t="str">
        <f t="shared" si="18"/>
        <v/>
      </c>
      <c r="F449" s="35" t="str">
        <f t="shared" si="19"/>
        <v/>
      </c>
      <c r="G449" s="35" t="str">
        <f t="shared" si="20"/>
        <v/>
      </c>
      <c r="H449" s="25"/>
      <c r="I449" s="47" t="str">
        <f t="shared" si="21"/>
        <v/>
      </c>
      <c r="J449" s="48"/>
      <c r="K449" s="21" t="str">
        <f t="shared" si="13"/>
        <v/>
      </c>
      <c r="L449" s="21" t="str">
        <f t="shared" si="3"/>
        <v/>
      </c>
      <c r="M449" s="21" t="str">
        <f t="array" ref="M449">IF(H449="","",SUMif(year(N$2:BO$2),M$2,N449:BO449))</f>
        <v/>
      </c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</row>
    <row r="450">
      <c r="A450" s="16" t="str">
        <f t="shared" si="14"/>
        <v/>
      </c>
      <c r="B450" s="16" t="str">
        <f t="shared" si="15"/>
        <v/>
      </c>
      <c r="C450" s="35" t="str">
        <f t="shared" si="16"/>
        <v/>
      </c>
      <c r="D450" s="35" t="str">
        <f t="shared" si="17"/>
        <v/>
      </c>
      <c r="E450" s="35" t="str">
        <f t="shared" si="18"/>
        <v/>
      </c>
      <c r="F450" s="35" t="str">
        <f t="shared" si="19"/>
        <v/>
      </c>
      <c r="G450" s="35" t="str">
        <f t="shared" si="20"/>
        <v/>
      </c>
      <c r="H450" s="25"/>
      <c r="I450" s="47" t="str">
        <f t="shared" si="21"/>
        <v/>
      </c>
      <c r="J450" s="48"/>
      <c r="K450" s="21" t="str">
        <f t="shared" si="13"/>
        <v/>
      </c>
      <c r="L450" s="21" t="str">
        <f t="shared" si="3"/>
        <v/>
      </c>
      <c r="M450" s="21" t="str">
        <f t="array" ref="M450">IF(H450="","",SUMif(year(N$2:BO$2),M$2,N450:BO450))</f>
        <v/>
      </c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</row>
    <row r="451">
      <c r="A451" s="16" t="str">
        <f t="shared" si="14"/>
        <v/>
      </c>
      <c r="B451" s="16" t="str">
        <f t="shared" si="15"/>
        <v/>
      </c>
      <c r="C451" s="35" t="str">
        <f t="shared" si="16"/>
        <v/>
      </c>
      <c r="D451" s="35" t="str">
        <f t="shared" si="17"/>
        <v/>
      </c>
      <c r="E451" s="35" t="str">
        <f t="shared" si="18"/>
        <v/>
      </c>
      <c r="F451" s="35" t="str">
        <f t="shared" si="19"/>
        <v/>
      </c>
      <c r="G451" s="35" t="str">
        <f t="shared" si="20"/>
        <v/>
      </c>
      <c r="H451" s="25"/>
      <c r="I451" s="47" t="str">
        <f t="shared" si="21"/>
        <v/>
      </c>
      <c r="J451" s="48"/>
      <c r="K451" s="21" t="str">
        <f t="shared" si="13"/>
        <v/>
      </c>
      <c r="L451" s="21" t="str">
        <f t="shared" si="3"/>
        <v/>
      </c>
      <c r="M451" s="21" t="str">
        <f t="array" ref="M451">IF(H451="","",SUMif(year(N$2:BO$2),M$2,N451:BO451))</f>
        <v/>
      </c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</row>
    <row r="452">
      <c r="A452" s="16" t="str">
        <f t="shared" si="14"/>
        <v/>
      </c>
      <c r="B452" s="16" t="str">
        <f t="shared" si="15"/>
        <v/>
      </c>
      <c r="C452" s="35" t="str">
        <f t="shared" si="16"/>
        <v/>
      </c>
      <c r="D452" s="35" t="str">
        <f t="shared" si="17"/>
        <v/>
      </c>
      <c r="E452" s="35" t="str">
        <f t="shared" si="18"/>
        <v/>
      </c>
      <c r="F452" s="35" t="str">
        <f t="shared" si="19"/>
        <v/>
      </c>
      <c r="G452" s="35" t="str">
        <f t="shared" si="20"/>
        <v/>
      </c>
      <c r="H452" s="25"/>
      <c r="I452" s="47" t="str">
        <f t="shared" si="21"/>
        <v/>
      </c>
      <c r="J452" s="48"/>
      <c r="K452" s="21" t="str">
        <f t="shared" si="13"/>
        <v/>
      </c>
      <c r="L452" s="21" t="str">
        <f t="shared" si="3"/>
        <v/>
      </c>
      <c r="M452" s="21" t="str">
        <f t="array" ref="M452">IF(H452="","",SUMif(year(N$2:BO$2),M$2,N452:BO452))</f>
        <v/>
      </c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</row>
    <row r="453">
      <c r="A453" s="16" t="str">
        <f t="shared" si="14"/>
        <v/>
      </c>
      <c r="B453" s="16" t="str">
        <f t="shared" si="15"/>
        <v/>
      </c>
      <c r="C453" s="35" t="str">
        <f t="shared" si="16"/>
        <v/>
      </c>
      <c r="D453" s="35" t="str">
        <f t="shared" si="17"/>
        <v/>
      </c>
      <c r="E453" s="35" t="str">
        <f t="shared" si="18"/>
        <v/>
      </c>
      <c r="F453" s="35" t="str">
        <f t="shared" si="19"/>
        <v/>
      </c>
      <c r="G453" s="35" t="str">
        <f t="shared" si="20"/>
        <v/>
      </c>
      <c r="H453" s="25"/>
      <c r="I453" s="47" t="str">
        <f t="shared" si="21"/>
        <v/>
      </c>
      <c r="J453" s="48"/>
      <c r="K453" s="21" t="str">
        <f t="shared" si="13"/>
        <v/>
      </c>
      <c r="L453" s="21" t="str">
        <f t="shared" si="3"/>
        <v/>
      </c>
      <c r="M453" s="21" t="str">
        <f t="array" ref="M453">IF(H453="","",SUMif(year(N$2:BO$2),M$2,N453:BO453))</f>
        <v/>
      </c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</row>
    <row r="454">
      <c r="A454" s="16" t="str">
        <f t="shared" si="14"/>
        <v/>
      </c>
      <c r="B454" s="16" t="str">
        <f t="shared" si="15"/>
        <v/>
      </c>
      <c r="C454" s="35" t="str">
        <f t="shared" si="16"/>
        <v/>
      </c>
      <c r="D454" s="35" t="str">
        <f t="shared" si="17"/>
        <v/>
      </c>
      <c r="E454" s="35" t="str">
        <f t="shared" si="18"/>
        <v/>
      </c>
      <c r="F454" s="35" t="str">
        <f t="shared" si="19"/>
        <v/>
      </c>
      <c r="G454" s="35" t="str">
        <f t="shared" si="20"/>
        <v/>
      </c>
      <c r="H454" s="25"/>
      <c r="I454" s="47" t="str">
        <f t="shared" si="21"/>
        <v/>
      </c>
      <c r="J454" s="48"/>
      <c r="K454" s="21" t="str">
        <f t="shared" si="13"/>
        <v/>
      </c>
      <c r="L454" s="21" t="str">
        <f t="shared" si="3"/>
        <v/>
      </c>
      <c r="M454" s="21" t="str">
        <f t="array" ref="M454">IF(H454="","",SUMif(year(N$2:BO$2),M$2,N454:BO454))</f>
        <v/>
      </c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</row>
    <row r="455">
      <c r="A455" s="16" t="str">
        <f t="shared" si="14"/>
        <v/>
      </c>
      <c r="B455" s="16" t="str">
        <f t="shared" si="15"/>
        <v/>
      </c>
      <c r="C455" s="35" t="str">
        <f t="shared" si="16"/>
        <v/>
      </c>
      <c r="D455" s="35" t="str">
        <f t="shared" si="17"/>
        <v/>
      </c>
      <c r="E455" s="35" t="str">
        <f t="shared" si="18"/>
        <v/>
      </c>
      <c r="F455" s="35" t="str">
        <f t="shared" si="19"/>
        <v/>
      </c>
      <c r="G455" s="35" t="str">
        <f t="shared" si="20"/>
        <v/>
      </c>
      <c r="H455" s="25"/>
      <c r="I455" s="47" t="str">
        <f t="shared" si="21"/>
        <v/>
      </c>
      <c r="J455" s="48"/>
      <c r="K455" s="21" t="str">
        <f t="shared" si="13"/>
        <v/>
      </c>
      <c r="L455" s="21" t="str">
        <f t="shared" si="3"/>
        <v/>
      </c>
      <c r="M455" s="21" t="str">
        <f t="array" ref="M455">IF(H455="","",SUMif(year(N$2:BO$2),M$2,N455:BO455))</f>
        <v/>
      </c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</row>
    <row r="456">
      <c r="A456" s="16" t="str">
        <f t="shared" si="14"/>
        <v/>
      </c>
      <c r="B456" s="16" t="str">
        <f t="shared" si="15"/>
        <v/>
      </c>
      <c r="C456" s="35" t="str">
        <f t="shared" si="16"/>
        <v/>
      </c>
      <c r="D456" s="35" t="str">
        <f t="shared" si="17"/>
        <v/>
      </c>
      <c r="E456" s="35" t="str">
        <f t="shared" si="18"/>
        <v/>
      </c>
      <c r="F456" s="35" t="str">
        <f t="shared" si="19"/>
        <v/>
      </c>
      <c r="G456" s="35" t="str">
        <f t="shared" si="20"/>
        <v/>
      </c>
      <c r="H456" s="25"/>
      <c r="I456" s="47" t="str">
        <f t="shared" si="21"/>
        <v/>
      </c>
      <c r="J456" s="48"/>
      <c r="K456" s="21" t="str">
        <f t="shared" si="13"/>
        <v/>
      </c>
      <c r="L456" s="21" t="str">
        <f t="shared" si="3"/>
        <v/>
      </c>
      <c r="M456" s="21" t="str">
        <f t="array" ref="M456">IF(H456="","",SUMif(year(N$2:BO$2),M$2,N456:BO456))</f>
        <v/>
      </c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</row>
    <row r="457">
      <c r="A457" s="16" t="str">
        <f t="shared" si="14"/>
        <v/>
      </c>
      <c r="B457" s="16" t="str">
        <f t="shared" si="15"/>
        <v/>
      </c>
      <c r="C457" s="35" t="str">
        <f t="shared" si="16"/>
        <v/>
      </c>
      <c r="D457" s="35" t="str">
        <f t="shared" si="17"/>
        <v/>
      </c>
      <c r="E457" s="35" t="str">
        <f t="shared" si="18"/>
        <v/>
      </c>
      <c r="F457" s="35" t="str">
        <f t="shared" si="19"/>
        <v/>
      </c>
      <c r="G457" s="35" t="str">
        <f t="shared" si="20"/>
        <v/>
      </c>
      <c r="H457" s="25"/>
      <c r="I457" s="47" t="str">
        <f t="shared" si="21"/>
        <v/>
      </c>
      <c r="J457" s="48"/>
      <c r="K457" s="21" t="str">
        <f t="shared" si="13"/>
        <v/>
      </c>
      <c r="L457" s="21" t="str">
        <f t="shared" si="3"/>
        <v/>
      </c>
      <c r="M457" s="21" t="str">
        <f t="array" ref="M457">IF(H457="","",SUMif(year(N$2:BO$2),M$2,N457:BO457))</f>
        <v/>
      </c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</row>
    <row r="458">
      <c r="A458" s="16" t="str">
        <f t="shared" si="14"/>
        <v/>
      </c>
      <c r="B458" s="16" t="str">
        <f t="shared" si="15"/>
        <v/>
      </c>
      <c r="C458" s="35" t="str">
        <f t="shared" si="16"/>
        <v/>
      </c>
      <c r="D458" s="35" t="str">
        <f t="shared" si="17"/>
        <v/>
      </c>
      <c r="E458" s="35" t="str">
        <f t="shared" si="18"/>
        <v/>
      </c>
      <c r="F458" s="35" t="str">
        <f t="shared" si="19"/>
        <v/>
      </c>
      <c r="G458" s="35" t="str">
        <f t="shared" si="20"/>
        <v/>
      </c>
      <c r="H458" s="25"/>
      <c r="I458" s="47" t="str">
        <f t="shared" si="21"/>
        <v/>
      </c>
      <c r="J458" s="48"/>
      <c r="K458" s="21" t="str">
        <f t="shared" si="13"/>
        <v/>
      </c>
      <c r="L458" s="21" t="str">
        <f t="shared" si="3"/>
        <v/>
      </c>
      <c r="M458" s="21" t="str">
        <f t="array" ref="M458">IF(H458="","",SUMif(year(N$2:BO$2),M$2,N458:BO458))</f>
        <v/>
      </c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</row>
    <row r="459">
      <c r="A459" s="16" t="str">
        <f t="shared" si="14"/>
        <v/>
      </c>
      <c r="B459" s="16" t="str">
        <f t="shared" si="15"/>
        <v/>
      </c>
      <c r="C459" s="35" t="str">
        <f t="shared" si="16"/>
        <v/>
      </c>
      <c r="D459" s="35" t="str">
        <f t="shared" si="17"/>
        <v/>
      </c>
      <c r="E459" s="35" t="str">
        <f t="shared" si="18"/>
        <v/>
      </c>
      <c r="F459" s="35" t="str">
        <f t="shared" si="19"/>
        <v/>
      </c>
      <c r="G459" s="35" t="str">
        <f t="shared" si="20"/>
        <v/>
      </c>
      <c r="H459" s="25"/>
      <c r="I459" s="47" t="str">
        <f t="shared" si="21"/>
        <v/>
      </c>
      <c r="J459" s="48"/>
      <c r="K459" s="21" t="str">
        <f t="shared" si="13"/>
        <v/>
      </c>
      <c r="L459" s="21" t="str">
        <f t="shared" si="3"/>
        <v/>
      </c>
      <c r="M459" s="21" t="str">
        <f t="array" ref="M459">IF(H459="","",SUMif(year(N$2:BO$2),M$2,N459:BO459))</f>
        <v/>
      </c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</row>
    <row r="460">
      <c r="A460" s="16" t="str">
        <f t="shared" si="14"/>
        <v/>
      </c>
      <c r="B460" s="16" t="str">
        <f t="shared" si="15"/>
        <v/>
      </c>
      <c r="C460" s="35" t="str">
        <f t="shared" si="16"/>
        <v/>
      </c>
      <c r="D460" s="35" t="str">
        <f t="shared" si="17"/>
        <v/>
      </c>
      <c r="E460" s="35" t="str">
        <f t="shared" si="18"/>
        <v/>
      </c>
      <c r="F460" s="35" t="str">
        <f t="shared" si="19"/>
        <v/>
      </c>
      <c r="G460" s="35" t="str">
        <f t="shared" si="20"/>
        <v/>
      </c>
      <c r="H460" s="25"/>
      <c r="I460" s="47" t="str">
        <f t="shared" si="21"/>
        <v/>
      </c>
      <c r="J460" s="48"/>
      <c r="K460" s="21" t="str">
        <f t="shared" si="13"/>
        <v/>
      </c>
      <c r="L460" s="21" t="str">
        <f t="shared" si="3"/>
        <v/>
      </c>
      <c r="M460" s="21" t="str">
        <f t="array" ref="M460">IF(H460="","",SUMif(year(N$2:BO$2),M$2,N460:BO460))</f>
        <v/>
      </c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</row>
    <row r="461">
      <c r="A461" s="16" t="str">
        <f t="shared" si="14"/>
        <v/>
      </c>
      <c r="B461" s="16" t="str">
        <f t="shared" si="15"/>
        <v/>
      </c>
      <c r="C461" s="35" t="str">
        <f t="shared" si="16"/>
        <v/>
      </c>
      <c r="D461" s="35" t="str">
        <f t="shared" si="17"/>
        <v/>
      </c>
      <c r="E461" s="35" t="str">
        <f t="shared" si="18"/>
        <v/>
      </c>
      <c r="F461" s="35" t="str">
        <f t="shared" si="19"/>
        <v/>
      </c>
      <c r="G461" s="35" t="str">
        <f t="shared" si="20"/>
        <v/>
      </c>
      <c r="H461" s="25"/>
      <c r="I461" s="47" t="str">
        <f t="shared" si="21"/>
        <v/>
      </c>
      <c r="J461" s="48"/>
      <c r="K461" s="21" t="str">
        <f t="shared" si="13"/>
        <v/>
      </c>
      <c r="L461" s="21" t="str">
        <f t="shared" si="3"/>
        <v/>
      </c>
      <c r="M461" s="21" t="str">
        <f t="array" ref="M461">IF(H461="","",SUMif(year(N$2:BO$2),M$2,N461:BO461))</f>
        <v/>
      </c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</row>
    <row r="462">
      <c r="A462" s="16" t="str">
        <f t="shared" si="14"/>
        <v/>
      </c>
      <c r="B462" s="16" t="str">
        <f t="shared" si="15"/>
        <v/>
      </c>
      <c r="C462" s="35" t="str">
        <f t="shared" si="16"/>
        <v/>
      </c>
      <c r="D462" s="35" t="str">
        <f t="shared" si="17"/>
        <v/>
      </c>
      <c r="E462" s="35" t="str">
        <f t="shared" si="18"/>
        <v/>
      </c>
      <c r="F462" s="35" t="str">
        <f t="shared" si="19"/>
        <v/>
      </c>
      <c r="G462" s="35" t="str">
        <f t="shared" si="20"/>
        <v/>
      </c>
      <c r="H462" s="25"/>
      <c r="I462" s="47" t="str">
        <f t="shared" si="21"/>
        <v/>
      </c>
      <c r="J462" s="48"/>
      <c r="K462" s="21" t="str">
        <f t="shared" si="13"/>
        <v/>
      </c>
      <c r="L462" s="21" t="str">
        <f t="shared" si="3"/>
        <v/>
      </c>
      <c r="M462" s="21" t="str">
        <f t="array" ref="M462">IF(H462="","",SUMif(year(N$2:BO$2),M$2,N462:BO462))</f>
        <v/>
      </c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</row>
    <row r="463">
      <c r="A463" s="16" t="str">
        <f t="shared" si="14"/>
        <v/>
      </c>
      <c r="B463" s="16" t="str">
        <f t="shared" si="15"/>
        <v/>
      </c>
      <c r="C463" s="35" t="str">
        <f t="shared" si="16"/>
        <v/>
      </c>
      <c r="D463" s="35" t="str">
        <f t="shared" si="17"/>
        <v/>
      </c>
      <c r="E463" s="35" t="str">
        <f t="shared" si="18"/>
        <v/>
      </c>
      <c r="F463" s="35" t="str">
        <f t="shared" si="19"/>
        <v/>
      </c>
      <c r="G463" s="35" t="str">
        <f t="shared" si="20"/>
        <v/>
      </c>
      <c r="H463" s="25"/>
      <c r="I463" s="47" t="str">
        <f t="shared" si="21"/>
        <v/>
      </c>
      <c r="J463" s="48"/>
      <c r="K463" s="21" t="str">
        <f t="shared" si="13"/>
        <v/>
      </c>
      <c r="L463" s="21" t="str">
        <f t="shared" si="3"/>
        <v/>
      </c>
      <c r="M463" s="21" t="str">
        <f t="array" ref="M463">IF(H463="","",SUMif(year(N$2:BO$2),M$2,N463:BO463))</f>
        <v/>
      </c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</row>
    <row r="464">
      <c r="A464" s="16" t="str">
        <f t="shared" si="14"/>
        <v/>
      </c>
      <c r="B464" s="16" t="str">
        <f t="shared" si="15"/>
        <v/>
      </c>
      <c r="C464" s="35" t="str">
        <f t="shared" si="16"/>
        <v/>
      </c>
      <c r="D464" s="35" t="str">
        <f t="shared" si="17"/>
        <v/>
      </c>
      <c r="E464" s="35" t="str">
        <f t="shared" si="18"/>
        <v/>
      </c>
      <c r="F464" s="35" t="str">
        <f t="shared" si="19"/>
        <v/>
      </c>
      <c r="G464" s="35" t="str">
        <f t="shared" si="20"/>
        <v/>
      </c>
      <c r="H464" s="25"/>
      <c r="I464" s="47" t="str">
        <f t="shared" si="21"/>
        <v/>
      </c>
      <c r="J464" s="48"/>
      <c r="K464" s="21" t="str">
        <f t="shared" si="13"/>
        <v/>
      </c>
      <c r="L464" s="21" t="str">
        <f t="shared" si="3"/>
        <v/>
      </c>
      <c r="M464" s="21" t="str">
        <f t="array" ref="M464">IF(H464="","",SUMif(year(N$2:BO$2),M$2,N464:BO464))</f>
        <v/>
      </c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</row>
    <row r="465">
      <c r="A465" s="16" t="str">
        <f t="shared" si="14"/>
        <v/>
      </c>
      <c r="B465" s="16" t="str">
        <f t="shared" si="15"/>
        <v/>
      </c>
      <c r="C465" s="35" t="str">
        <f t="shared" si="16"/>
        <v/>
      </c>
      <c r="D465" s="35" t="str">
        <f t="shared" si="17"/>
        <v/>
      </c>
      <c r="E465" s="35" t="str">
        <f t="shared" si="18"/>
        <v/>
      </c>
      <c r="F465" s="35" t="str">
        <f t="shared" si="19"/>
        <v/>
      </c>
      <c r="G465" s="35" t="str">
        <f t="shared" si="20"/>
        <v/>
      </c>
      <c r="H465" s="25"/>
      <c r="I465" s="47" t="str">
        <f t="shared" si="21"/>
        <v/>
      </c>
      <c r="J465" s="48"/>
      <c r="K465" s="21" t="str">
        <f t="shared" si="13"/>
        <v/>
      </c>
      <c r="L465" s="21" t="str">
        <f t="shared" si="3"/>
        <v/>
      </c>
      <c r="M465" s="21" t="str">
        <f t="array" ref="M465">IF(H465="","",SUMif(year(N$2:BO$2),M$2,N465:BO465))</f>
        <v/>
      </c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</row>
    <row r="466">
      <c r="A466" s="16" t="str">
        <f t="shared" si="14"/>
        <v/>
      </c>
      <c r="B466" s="16" t="str">
        <f t="shared" si="15"/>
        <v/>
      </c>
      <c r="C466" s="35" t="str">
        <f t="shared" si="16"/>
        <v/>
      </c>
      <c r="D466" s="35" t="str">
        <f t="shared" si="17"/>
        <v/>
      </c>
      <c r="E466" s="35" t="str">
        <f t="shared" si="18"/>
        <v/>
      </c>
      <c r="F466" s="35" t="str">
        <f t="shared" si="19"/>
        <v/>
      </c>
      <c r="G466" s="35" t="str">
        <f t="shared" si="20"/>
        <v/>
      </c>
      <c r="H466" s="25"/>
      <c r="I466" s="47" t="str">
        <f t="shared" si="21"/>
        <v/>
      </c>
      <c r="J466" s="48"/>
      <c r="K466" s="21" t="str">
        <f t="shared" si="13"/>
        <v/>
      </c>
      <c r="L466" s="21" t="str">
        <f t="shared" si="3"/>
        <v/>
      </c>
      <c r="M466" s="21" t="str">
        <f t="array" ref="M466">IF(H466="","",SUMif(year(N$2:BO$2),M$2,N466:BO466))</f>
        <v/>
      </c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</row>
    <row r="467">
      <c r="A467" s="16" t="str">
        <f t="shared" si="14"/>
        <v/>
      </c>
      <c r="B467" s="16" t="str">
        <f t="shared" si="15"/>
        <v/>
      </c>
      <c r="C467" s="35" t="str">
        <f t="shared" si="16"/>
        <v/>
      </c>
      <c r="D467" s="35" t="str">
        <f t="shared" si="17"/>
        <v/>
      </c>
      <c r="E467" s="35" t="str">
        <f t="shared" si="18"/>
        <v/>
      </c>
      <c r="F467" s="35" t="str">
        <f t="shared" si="19"/>
        <v/>
      </c>
      <c r="G467" s="35" t="str">
        <f t="shared" si="20"/>
        <v/>
      </c>
      <c r="H467" s="25"/>
      <c r="I467" s="47" t="str">
        <f t="shared" si="21"/>
        <v/>
      </c>
      <c r="J467" s="48"/>
      <c r="K467" s="21" t="str">
        <f t="shared" si="13"/>
        <v/>
      </c>
      <c r="L467" s="21" t="str">
        <f t="shared" si="3"/>
        <v/>
      </c>
      <c r="M467" s="21" t="str">
        <f t="array" ref="M467">IF(H467="","",SUMif(year(N$2:BO$2),M$2,N467:BO467))</f>
        <v/>
      </c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</row>
    <row r="468">
      <c r="A468" s="16" t="str">
        <f t="shared" si="14"/>
        <v/>
      </c>
      <c r="B468" s="16" t="str">
        <f t="shared" si="15"/>
        <v/>
      </c>
      <c r="C468" s="35" t="str">
        <f t="shared" si="16"/>
        <v/>
      </c>
      <c r="D468" s="35" t="str">
        <f t="shared" si="17"/>
        <v/>
      </c>
      <c r="E468" s="35" t="str">
        <f t="shared" si="18"/>
        <v/>
      </c>
      <c r="F468" s="35" t="str">
        <f t="shared" si="19"/>
        <v/>
      </c>
      <c r="G468" s="35" t="str">
        <f t="shared" si="20"/>
        <v/>
      </c>
      <c r="H468" s="25"/>
      <c r="I468" s="47" t="str">
        <f t="shared" si="21"/>
        <v/>
      </c>
      <c r="J468" s="48"/>
      <c r="K468" s="21" t="str">
        <f t="shared" si="13"/>
        <v/>
      </c>
      <c r="L468" s="21" t="str">
        <f t="shared" si="3"/>
        <v/>
      </c>
      <c r="M468" s="21" t="str">
        <f t="array" ref="M468">IF(H468="","",SUMif(year(N$2:BO$2),M$2,N468:BO468))</f>
        <v/>
      </c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</row>
    <row r="469">
      <c r="A469" s="16" t="str">
        <f t="shared" si="14"/>
        <v/>
      </c>
      <c r="B469" s="16" t="str">
        <f t="shared" si="15"/>
        <v/>
      </c>
      <c r="C469" s="35" t="str">
        <f t="shared" si="16"/>
        <v/>
      </c>
      <c r="D469" s="35" t="str">
        <f t="shared" si="17"/>
        <v/>
      </c>
      <c r="E469" s="35" t="str">
        <f t="shared" si="18"/>
        <v/>
      </c>
      <c r="F469" s="35" t="str">
        <f t="shared" si="19"/>
        <v/>
      </c>
      <c r="G469" s="35" t="str">
        <f t="shared" si="20"/>
        <v/>
      </c>
      <c r="H469" s="25"/>
      <c r="I469" s="47" t="str">
        <f t="shared" si="21"/>
        <v/>
      </c>
      <c r="J469" s="48"/>
      <c r="K469" s="21" t="str">
        <f t="shared" si="13"/>
        <v/>
      </c>
      <c r="L469" s="21" t="str">
        <f t="shared" si="3"/>
        <v/>
      </c>
      <c r="M469" s="21" t="str">
        <f t="array" ref="M469">IF(H469="","",SUMif(year(N$2:BO$2),M$2,N469:BO469))</f>
        <v/>
      </c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</row>
    <row r="470">
      <c r="A470" s="16" t="str">
        <f t="shared" si="14"/>
        <v/>
      </c>
      <c r="B470" s="16" t="str">
        <f t="shared" si="15"/>
        <v/>
      </c>
      <c r="C470" s="35" t="str">
        <f t="shared" si="16"/>
        <v/>
      </c>
      <c r="D470" s="35" t="str">
        <f t="shared" si="17"/>
        <v/>
      </c>
      <c r="E470" s="35" t="str">
        <f t="shared" si="18"/>
        <v/>
      </c>
      <c r="F470" s="35" t="str">
        <f t="shared" si="19"/>
        <v/>
      </c>
      <c r="G470" s="35" t="str">
        <f t="shared" si="20"/>
        <v/>
      </c>
      <c r="H470" s="25"/>
      <c r="I470" s="47" t="str">
        <f t="shared" si="21"/>
        <v/>
      </c>
      <c r="J470" s="48"/>
      <c r="K470" s="21" t="str">
        <f t="shared" si="13"/>
        <v/>
      </c>
      <c r="L470" s="21" t="str">
        <f t="shared" si="3"/>
        <v/>
      </c>
      <c r="M470" s="21" t="str">
        <f t="array" ref="M470">IF(H470="","",SUMif(year(N$2:BO$2),M$2,N470:BO470))</f>
        <v/>
      </c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</row>
    <row r="471">
      <c r="A471" s="16" t="str">
        <f t="shared" si="14"/>
        <v/>
      </c>
      <c r="B471" s="16" t="str">
        <f t="shared" si="15"/>
        <v/>
      </c>
      <c r="C471" s="35" t="str">
        <f t="shared" si="16"/>
        <v/>
      </c>
      <c r="D471" s="35" t="str">
        <f t="shared" si="17"/>
        <v/>
      </c>
      <c r="E471" s="35" t="str">
        <f t="shared" si="18"/>
        <v/>
      </c>
      <c r="F471" s="35" t="str">
        <f t="shared" si="19"/>
        <v/>
      </c>
      <c r="G471" s="35" t="str">
        <f t="shared" si="20"/>
        <v/>
      </c>
      <c r="H471" s="25"/>
      <c r="I471" s="47" t="str">
        <f t="shared" si="21"/>
        <v/>
      </c>
      <c r="J471" s="48"/>
      <c r="K471" s="21" t="str">
        <f t="shared" si="13"/>
        <v/>
      </c>
      <c r="L471" s="21" t="str">
        <f t="shared" si="3"/>
        <v/>
      </c>
      <c r="M471" s="21" t="str">
        <f t="array" ref="M471">IF(H471="","",SUMif(year(N$2:BO$2),M$2,N471:BO471))</f>
        <v/>
      </c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</row>
    <row r="472">
      <c r="A472" s="16" t="str">
        <f t="shared" si="14"/>
        <v/>
      </c>
      <c r="B472" s="16" t="str">
        <f t="shared" si="15"/>
        <v/>
      </c>
      <c r="C472" s="35" t="str">
        <f t="shared" si="16"/>
        <v/>
      </c>
      <c r="D472" s="35" t="str">
        <f t="shared" si="17"/>
        <v/>
      </c>
      <c r="E472" s="35" t="str">
        <f t="shared" si="18"/>
        <v/>
      </c>
      <c r="F472" s="35" t="str">
        <f t="shared" si="19"/>
        <v/>
      </c>
      <c r="G472" s="35" t="str">
        <f t="shared" si="20"/>
        <v/>
      </c>
      <c r="H472" s="25"/>
      <c r="I472" s="47" t="str">
        <f t="shared" si="21"/>
        <v/>
      </c>
      <c r="J472" s="48"/>
      <c r="K472" s="21" t="str">
        <f t="shared" si="13"/>
        <v/>
      </c>
      <c r="L472" s="21" t="str">
        <f t="shared" si="3"/>
        <v/>
      </c>
      <c r="M472" s="21" t="str">
        <f t="array" ref="M472">IF(H472="","",SUMif(year(N$2:BO$2),M$2,N472:BO472))</f>
        <v/>
      </c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</row>
    <row r="473">
      <c r="A473" s="16" t="str">
        <f t="shared" si="14"/>
        <v/>
      </c>
      <c r="B473" s="16" t="str">
        <f t="shared" si="15"/>
        <v/>
      </c>
      <c r="C473" s="35" t="str">
        <f t="shared" si="16"/>
        <v/>
      </c>
      <c r="D473" s="35" t="str">
        <f t="shared" si="17"/>
        <v/>
      </c>
      <c r="E473" s="35" t="str">
        <f t="shared" si="18"/>
        <v/>
      </c>
      <c r="F473" s="35" t="str">
        <f t="shared" si="19"/>
        <v/>
      </c>
      <c r="G473" s="35" t="str">
        <f t="shared" si="20"/>
        <v/>
      </c>
      <c r="H473" s="25"/>
      <c r="I473" s="47" t="str">
        <f t="shared" si="21"/>
        <v/>
      </c>
      <c r="J473" s="48"/>
      <c r="K473" s="21" t="str">
        <f t="shared" si="13"/>
        <v/>
      </c>
      <c r="L473" s="21" t="str">
        <f t="shared" si="3"/>
        <v/>
      </c>
      <c r="M473" s="21" t="str">
        <f t="array" ref="M473">IF(H473="","",SUMif(year(N$2:BO$2),M$2,N473:BO473))</f>
        <v/>
      </c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</row>
    <row r="474">
      <c r="A474" s="16" t="str">
        <f t="shared" si="14"/>
        <v/>
      </c>
      <c r="B474" s="16" t="str">
        <f t="shared" si="15"/>
        <v/>
      </c>
      <c r="C474" s="35" t="str">
        <f t="shared" si="16"/>
        <v/>
      </c>
      <c r="D474" s="35" t="str">
        <f t="shared" si="17"/>
        <v/>
      </c>
      <c r="E474" s="35" t="str">
        <f t="shared" si="18"/>
        <v/>
      </c>
      <c r="F474" s="35" t="str">
        <f t="shared" si="19"/>
        <v/>
      </c>
      <c r="G474" s="35" t="str">
        <f t="shared" si="20"/>
        <v/>
      </c>
      <c r="H474" s="25"/>
      <c r="I474" s="47" t="str">
        <f t="shared" si="21"/>
        <v/>
      </c>
      <c r="J474" s="48"/>
      <c r="K474" s="21" t="str">
        <f t="shared" si="13"/>
        <v/>
      </c>
      <c r="L474" s="21" t="str">
        <f t="shared" si="3"/>
        <v/>
      </c>
      <c r="M474" s="21" t="str">
        <f t="array" ref="M474">IF(H474="","",SUMif(year(N$2:BO$2),M$2,N474:BO474))</f>
        <v/>
      </c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</row>
    <row r="475">
      <c r="A475" s="16" t="str">
        <f t="shared" si="14"/>
        <v/>
      </c>
      <c r="B475" s="16" t="str">
        <f t="shared" si="15"/>
        <v/>
      </c>
      <c r="C475" s="35" t="str">
        <f t="shared" si="16"/>
        <v/>
      </c>
      <c r="D475" s="35" t="str">
        <f t="shared" si="17"/>
        <v/>
      </c>
      <c r="E475" s="35" t="str">
        <f t="shared" si="18"/>
        <v/>
      </c>
      <c r="F475" s="35" t="str">
        <f t="shared" si="19"/>
        <v/>
      </c>
      <c r="G475" s="35" t="str">
        <f t="shared" si="20"/>
        <v/>
      </c>
      <c r="H475" s="25"/>
      <c r="I475" s="47" t="str">
        <f t="shared" si="21"/>
        <v/>
      </c>
      <c r="J475" s="48"/>
      <c r="K475" s="21" t="str">
        <f t="shared" si="13"/>
        <v/>
      </c>
      <c r="L475" s="21" t="str">
        <f t="shared" si="3"/>
        <v/>
      </c>
      <c r="M475" s="21" t="str">
        <f t="array" ref="M475">IF(H475="","",SUMif(year(N$2:BO$2),M$2,N475:BO475))</f>
        <v/>
      </c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</row>
    <row r="476">
      <c r="A476" s="16" t="str">
        <f t="shared" si="14"/>
        <v/>
      </c>
      <c r="B476" s="16" t="str">
        <f t="shared" si="15"/>
        <v/>
      </c>
      <c r="C476" s="35" t="str">
        <f t="shared" si="16"/>
        <v/>
      </c>
      <c r="D476" s="35" t="str">
        <f t="shared" si="17"/>
        <v/>
      </c>
      <c r="E476" s="35" t="str">
        <f t="shared" si="18"/>
        <v/>
      </c>
      <c r="F476" s="35" t="str">
        <f t="shared" si="19"/>
        <v/>
      </c>
      <c r="G476" s="35" t="str">
        <f t="shared" si="20"/>
        <v/>
      </c>
      <c r="H476" s="25"/>
      <c r="I476" s="47" t="str">
        <f t="shared" si="21"/>
        <v/>
      </c>
      <c r="J476" s="48"/>
      <c r="K476" s="21" t="str">
        <f t="shared" si="13"/>
        <v/>
      </c>
      <c r="L476" s="21" t="str">
        <f t="shared" si="3"/>
        <v/>
      </c>
      <c r="M476" s="21" t="str">
        <f t="array" ref="M476">IF(H476="","",SUMif(year(N$2:BO$2),M$2,N476:BO476))</f>
        <v/>
      </c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</row>
    <row r="477">
      <c r="A477" s="16" t="str">
        <f t="shared" si="14"/>
        <v/>
      </c>
      <c r="B477" s="16" t="str">
        <f t="shared" si="15"/>
        <v/>
      </c>
      <c r="C477" s="35" t="str">
        <f t="shared" si="16"/>
        <v/>
      </c>
      <c r="D477" s="35" t="str">
        <f t="shared" si="17"/>
        <v/>
      </c>
      <c r="E477" s="35" t="str">
        <f t="shared" si="18"/>
        <v/>
      </c>
      <c r="F477" s="35" t="str">
        <f t="shared" si="19"/>
        <v/>
      </c>
      <c r="G477" s="35" t="str">
        <f t="shared" si="20"/>
        <v/>
      </c>
      <c r="H477" s="25"/>
      <c r="I477" s="47" t="str">
        <f t="shared" si="21"/>
        <v/>
      </c>
      <c r="J477" s="48"/>
      <c r="K477" s="21" t="str">
        <f t="shared" si="13"/>
        <v/>
      </c>
      <c r="L477" s="21" t="str">
        <f t="shared" si="3"/>
        <v/>
      </c>
      <c r="M477" s="21" t="str">
        <f t="array" ref="M477">IF(H477="","",SUMif(year(N$2:BO$2),M$2,N477:BO477))</f>
        <v/>
      </c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</row>
    <row r="478">
      <c r="A478" s="16" t="str">
        <f t="shared" si="14"/>
        <v/>
      </c>
      <c r="B478" s="16" t="str">
        <f t="shared" si="15"/>
        <v/>
      </c>
      <c r="C478" s="35" t="str">
        <f t="shared" si="16"/>
        <v/>
      </c>
      <c r="D478" s="35" t="str">
        <f t="shared" si="17"/>
        <v/>
      </c>
      <c r="E478" s="35" t="str">
        <f t="shared" si="18"/>
        <v/>
      </c>
      <c r="F478" s="35" t="str">
        <f t="shared" si="19"/>
        <v/>
      </c>
      <c r="G478" s="35" t="str">
        <f t="shared" si="20"/>
        <v/>
      </c>
      <c r="H478" s="25"/>
      <c r="I478" s="47" t="str">
        <f t="shared" si="21"/>
        <v/>
      </c>
      <c r="J478" s="48"/>
      <c r="K478" s="21" t="str">
        <f t="shared" si="13"/>
        <v/>
      </c>
      <c r="L478" s="21" t="str">
        <f t="shared" si="3"/>
        <v/>
      </c>
      <c r="M478" s="21" t="str">
        <f t="array" ref="M478">IF(H478="","",SUMif(year(N$2:BO$2),M$2,N478:BO478))</f>
        <v/>
      </c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</row>
    <row r="479">
      <c r="A479" s="16" t="str">
        <f t="shared" si="14"/>
        <v/>
      </c>
      <c r="B479" s="16" t="str">
        <f t="shared" si="15"/>
        <v/>
      </c>
      <c r="C479" s="35" t="str">
        <f t="shared" si="16"/>
        <v/>
      </c>
      <c r="D479" s="35" t="str">
        <f t="shared" si="17"/>
        <v/>
      </c>
      <c r="E479" s="35" t="str">
        <f t="shared" si="18"/>
        <v/>
      </c>
      <c r="F479" s="35" t="str">
        <f t="shared" si="19"/>
        <v/>
      </c>
      <c r="G479" s="35" t="str">
        <f t="shared" si="20"/>
        <v/>
      </c>
      <c r="H479" s="25"/>
      <c r="I479" s="47" t="str">
        <f t="shared" si="21"/>
        <v/>
      </c>
      <c r="J479" s="48"/>
      <c r="K479" s="21" t="str">
        <f t="shared" si="13"/>
        <v/>
      </c>
      <c r="L479" s="21" t="str">
        <f t="shared" si="3"/>
        <v/>
      </c>
      <c r="M479" s="21" t="str">
        <f t="array" ref="M479">IF(H479="","",SUMif(year(N$2:BO$2),M$2,N479:BO479))</f>
        <v/>
      </c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</row>
    <row r="480">
      <c r="A480" s="16" t="str">
        <f t="shared" si="14"/>
        <v/>
      </c>
      <c r="B480" s="16" t="str">
        <f t="shared" si="15"/>
        <v/>
      </c>
      <c r="C480" s="35" t="str">
        <f t="shared" si="16"/>
        <v/>
      </c>
      <c r="D480" s="35" t="str">
        <f t="shared" si="17"/>
        <v/>
      </c>
      <c r="E480" s="35" t="str">
        <f t="shared" si="18"/>
        <v/>
      </c>
      <c r="F480" s="35" t="str">
        <f t="shared" si="19"/>
        <v/>
      </c>
      <c r="G480" s="35" t="str">
        <f t="shared" si="20"/>
        <v/>
      </c>
      <c r="H480" s="25"/>
      <c r="I480" s="47" t="str">
        <f t="shared" si="21"/>
        <v/>
      </c>
      <c r="J480" s="48"/>
      <c r="K480" s="21" t="str">
        <f t="shared" si="13"/>
        <v/>
      </c>
      <c r="L480" s="21" t="str">
        <f t="shared" si="3"/>
        <v/>
      </c>
      <c r="M480" s="21" t="str">
        <f t="array" ref="M480">IF(H480="","",SUMif(year(N$2:BO$2),M$2,N480:BO480))</f>
        <v/>
      </c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</row>
    <row r="481">
      <c r="A481" s="16" t="str">
        <f t="shared" si="14"/>
        <v/>
      </c>
      <c r="B481" s="16" t="str">
        <f t="shared" si="15"/>
        <v/>
      </c>
      <c r="C481" s="35" t="str">
        <f t="shared" si="16"/>
        <v/>
      </c>
      <c r="D481" s="35" t="str">
        <f t="shared" si="17"/>
        <v/>
      </c>
      <c r="E481" s="35" t="str">
        <f t="shared" si="18"/>
        <v/>
      </c>
      <c r="F481" s="35" t="str">
        <f t="shared" si="19"/>
        <v/>
      </c>
      <c r="G481" s="35" t="str">
        <f t="shared" si="20"/>
        <v/>
      </c>
      <c r="H481" s="25"/>
      <c r="I481" s="47" t="str">
        <f t="shared" si="21"/>
        <v/>
      </c>
      <c r="J481" s="48"/>
      <c r="K481" s="21" t="str">
        <f t="shared" si="13"/>
        <v/>
      </c>
      <c r="L481" s="21" t="str">
        <f t="shared" si="3"/>
        <v/>
      </c>
      <c r="M481" s="21" t="str">
        <f t="array" ref="M481">IF(H481="","",SUMif(year(N$2:BO$2),M$2,N481:BO481))</f>
        <v/>
      </c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</row>
    <row r="482">
      <c r="A482" s="16" t="str">
        <f t="shared" si="14"/>
        <v/>
      </c>
      <c r="B482" s="16" t="str">
        <f t="shared" si="15"/>
        <v/>
      </c>
      <c r="C482" s="35" t="str">
        <f t="shared" si="16"/>
        <v/>
      </c>
      <c r="D482" s="35" t="str">
        <f t="shared" si="17"/>
        <v/>
      </c>
      <c r="E482" s="35" t="str">
        <f t="shared" si="18"/>
        <v/>
      </c>
      <c r="F482" s="35" t="str">
        <f t="shared" si="19"/>
        <v/>
      </c>
      <c r="G482" s="35" t="str">
        <f t="shared" si="20"/>
        <v/>
      </c>
      <c r="H482" s="25"/>
      <c r="I482" s="47" t="str">
        <f t="shared" si="21"/>
        <v/>
      </c>
      <c r="J482" s="48"/>
      <c r="K482" s="21" t="str">
        <f t="shared" si="13"/>
        <v/>
      </c>
      <c r="L482" s="21" t="str">
        <f t="shared" si="3"/>
        <v/>
      </c>
      <c r="M482" s="21" t="str">
        <f t="array" ref="M482">IF(H482="","",SUMif(year(N$2:BO$2),M$2,N482:BO482))</f>
        <v/>
      </c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</row>
    <row r="483">
      <c r="A483" s="16" t="str">
        <f t="shared" si="14"/>
        <v/>
      </c>
      <c r="B483" s="16" t="str">
        <f t="shared" si="15"/>
        <v/>
      </c>
      <c r="C483" s="35" t="str">
        <f t="shared" si="16"/>
        <v/>
      </c>
      <c r="D483" s="35" t="str">
        <f t="shared" si="17"/>
        <v/>
      </c>
      <c r="E483" s="35" t="str">
        <f t="shared" si="18"/>
        <v/>
      </c>
      <c r="F483" s="35" t="str">
        <f t="shared" si="19"/>
        <v/>
      </c>
      <c r="G483" s="35" t="str">
        <f t="shared" si="20"/>
        <v/>
      </c>
      <c r="H483" s="25"/>
      <c r="I483" s="47" t="str">
        <f t="shared" si="21"/>
        <v/>
      </c>
      <c r="J483" s="48"/>
      <c r="K483" s="21" t="str">
        <f t="shared" si="13"/>
        <v/>
      </c>
      <c r="L483" s="21" t="str">
        <f t="shared" si="3"/>
        <v/>
      </c>
      <c r="M483" s="21" t="str">
        <f t="array" ref="M483">IF(H483="","",SUMif(year(N$2:BO$2),M$2,N483:BO483))</f>
        <v/>
      </c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</row>
    <row r="484">
      <c r="A484" s="16" t="str">
        <f t="shared" si="14"/>
        <v/>
      </c>
      <c r="B484" s="16" t="str">
        <f t="shared" si="15"/>
        <v/>
      </c>
      <c r="C484" s="35" t="str">
        <f t="shared" si="16"/>
        <v/>
      </c>
      <c r="D484" s="35" t="str">
        <f t="shared" si="17"/>
        <v/>
      </c>
      <c r="E484" s="35" t="str">
        <f t="shared" si="18"/>
        <v/>
      </c>
      <c r="F484" s="35" t="str">
        <f t="shared" si="19"/>
        <v/>
      </c>
      <c r="G484" s="35" t="str">
        <f t="shared" si="20"/>
        <v/>
      </c>
      <c r="H484" s="25"/>
      <c r="I484" s="47" t="str">
        <f t="shared" si="21"/>
        <v/>
      </c>
      <c r="J484" s="48"/>
      <c r="K484" s="21" t="str">
        <f t="shared" si="13"/>
        <v/>
      </c>
      <c r="L484" s="21" t="str">
        <f t="shared" si="3"/>
        <v/>
      </c>
      <c r="M484" s="21" t="str">
        <f t="array" ref="M484">IF(H484="","",SUMif(year(N$2:BO$2),M$2,N484:BO484))</f>
        <v/>
      </c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</row>
    <row r="485">
      <c r="A485" s="16" t="str">
        <f t="shared" si="14"/>
        <v/>
      </c>
      <c r="B485" s="16" t="str">
        <f t="shared" si="15"/>
        <v/>
      </c>
      <c r="C485" s="35" t="str">
        <f t="shared" si="16"/>
        <v/>
      </c>
      <c r="D485" s="35" t="str">
        <f t="shared" si="17"/>
        <v/>
      </c>
      <c r="E485" s="35" t="str">
        <f t="shared" si="18"/>
        <v/>
      </c>
      <c r="F485" s="35" t="str">
        <f t="shared" si="19"/>
        <v/>
      </c>
      <c r="G485" s="35" t="str">
        <f t="shared" si="20"/>
        <v/>
      </c>
      <c r="H485" s="25"/>
      <c r="I485" s="47" t="str">
        <f t="shared" si="21"/>
        <v/>
      </c>
      <c r="J485" s="48"/>
      <c r="K485" s="21" t="str">
        <f t="shared" si="13"/>
        <v/>
      </c>
      <c r="L485" s="21" t="str">
        <f t="shared" si="3"/>
        <v/>
      </c>
      <c r="M485" s="21" t="str">
        <f t="array" ref="M485">IF(H485="","",SUMif(year(N$2:BO$2),M$2,N485:BO485))</f>
        <v/>
      </c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</row>
    <row r="486">
      <c r="A486" s="16" t="str">
        <f t="shared" si="14"/>
        <v/>
      </c>
      <c r="B486" s="16" t="str">
        <f t="shared" si="15"/>
        <v/>
      </c>
      <c r="C486" s="35" t="str">
        <f t="shared" si="16"/>
        <v/>
      </c>
      <c r="D486" s="35" t="str">
        <f t="shared" si="17"/>
        <v/>
      </c>
      <c r="E486" s="35" t="str">
        <f t="shared" si="18"/>
        <v/>
      </c>
      <c r="F486" s="35" t="str">
        <f t="shared" si="19"/>
        <v/>
      </c>
      <c r="G486" s="35" t="str">
        <f t="shared" si="20"/>
        <v/>
      </c>
      <c r="H486" s="25"/>
      <c r="I486" s="47" t="str">
        <f t="shared" si="21"/>
        <v/>
      </c>
      <c r="J486" s="48"/>
      <c r="K486" s="21" t="str">
        <f t="shared" si="13"/>
        <v/>
      </c>
      <c r="L486" s="21" t="str">
        <f t="shared" si="3"/>
        <v/>
      </c>
      <c r="M486" s="21" t="str">
        <f t="array" ref="M486">IF(H486="","",SUMif(year(N$2:BO$2),M$2,N486:BO486))</f>
        <v/>
      </c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</row>
    <row r="487">
      <c r="A487" s="16" t="str">
        <f t="shared" si="14"/>
        <v/>
      </c>
      <c r="B487" s="16" t="str">
        <f t="shared" si="15"/>
        <v/>
      </c>
      <c r="C487" s="35" t="str">
        <f t="shared" si="16"/>
        <v/>
      </c>
      <c r="D487" s="35" t="str">
        <f t="shared" si="17"/>
        <v/>
      </c>
      <c r="E487" s="35" t="str">
        <f t="shared" si="18"/>
        <v/>
      </c>
      <c r="F487" s="35" t="str">
        <f t="shared" si="19"/>
        <v/>
      </c>
      <c r="G487" s="35" t="str">
        <f t="shared" si="20"/>
        <v/>
      </c>
      <c r="H487" s="25"/>
      <c r="I487" s="47" t="str">
        <f t="shared" si="21"/>
        <v/>
      </c>
      <c r="J487" s="48"/>
      <c r="K487" s="21" t="str">
        <f t="shared" si="13"/>
        <v/>
      </c>
      <c r="L487" s="21" t="str">
        <f t="shared" si="3"/>
        <v/>
      </c>
      <c r="M487" s="21" t="str">
        <f t="array" ref="M487">IF(H487="","",SUMif(year(N$2:BO$2),M$2,N487:BO487))</f>
        <v/>
      </c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</row>
    <row r="488">
      <c r="A488" s="16" t="str">
        <f t="shared" si="14"/>
        <v/>
      </c>
      <c r="B488" s="16" t="str">
        <f t="shared" si="15"/>
        <v/>
      </c>
      <c r="C488" s="35" t="str">
        <f t="shared" si="16"/>
        <v/>
      </c>
      <c r="D488" s="35" t="str">
        <f t="shared" si="17"/>
        <v/>
      </c>
      <c r="E488" s="35" t="str">
        <f t="shared" si="18"/>
        <v/>
      </c>
      <c r="F488" s="35" t="str">
        <f t="shared" si="19"/>
        <v/>
      </c>
      <c r="G488" s="35" t="str">
        <f t="shared" si="20"/>
        <v/>
      </c>
      <c r="H488" s="25"/>
      <c r="I488" s="47" t="str">
        <f t="shared" si="21"/>
        <v/>
      </c>
      <c r="J488" s="48"/>
      <c r="K488" s="21" t="str">
        <f t="shared" si="13"/>
        <v/>
      </c>
      <c r="L488" s="21" t="str">
        <f t="shared" si="3"/>
        <v/>
      </c>
      <c r="M488" s="21" t="str">
        <f t="array" ref="M488">IF(H488="","",SUMif(year(N$2:BO$2),M$2,N488:BO488))</f>
        <v/>
      </c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</row>
    <row r="489">
      <c r="A489" s="16" t="str">
        <f t="shared" si="14"/>
        <v/>
      </c>
      <c r="B489" s="16" t="str">
        <f t="shared" si="15"/>
        <v/>
      </c>
      <c r="C489" s="35" t="str">
        <f t="shared" si="16"/>
        <v/>
      </c>
      <c r="D489" s="35" t="str">
        <f t="shared" si="17"/>
        <v/>
      </c>
      <c r="E489" s="35" t="str">
        <f t="shared" si="18"/>
        <v/>
      </c>
      <c r="F489" s="35" t="str">
        <f t="shared" si="19"/>
        <v/>
      </c>
      <c r="G489" s="35" t="str">
        <f t="shared" si="20"/>
        <v/>
      </c>
      <c r="H489" s="25"/>
      <c r="I489" s="47" t="str">
        <f t="shared" si="21"/>
        <v/>
      </c>
      <c r="J489" s="48"/>
      <c r="K489" s="21" t="str">
        <f t="shared" si="13"/>
        <v/>
      </c>
      <c r="L489" s="21" t="str">
        <f t="shared" si="3"/>
        <v/>
      </c>
      <c r="M489" s="21" t="str">
        <f t="array" ref="M489">IF(H489="","",SUMif(year(N$2:BO$2),M$2,N489:BO489))</f>
        <v/>
      </c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</row>
    <row r="490">
      <c r="A490" s="16" t="str">
        <f t="shared" si="14"/>
        <v/>
      </c>
      <c r="B490" s="16" t="str">
        <f t="shared" si="15"/>
        <v/>
      </c>
      <c r="C490" s="35" t="str">
        <f t="shared" si="16"/>
        <v/>
      </c>
      <c r="D490" s="35" t="str">
        <f t="shared" si="17"/>
        <v/>
      </c>
      <c r="E490" s="35" t="str">
        <f t="shared" si="18"/>
        <v/>
      </c>
      <c r="F490" s="35" t="str">
        <f t="shared" si="19"/>
        <v/>
      </c>
      <c r="G490" s="35" t="str">
        <f t="shared" si="20"/>
        <v/>
      </c>
      <c r="H490" s="25"/>
      <c r="I490" s="47" t="str">
        <f t="shared" si="21"/>
        <v/>
      </c>
      <c r="J490" s="48"/>
      <c r="K490" s="21" t="str">
        <f t="shared" si="13"/>
        <v/>
      </c>
      <c r="L490" s="21" t="str">
        <f t="shared" si="3"/>
        <v/>
      </c>
      <c r="M490" s="21" t="str">
        <f t="array" ref="M490">IF(H490="","",SUMif(year(N$2:BO$2),M$2,N490:BO490))</f>
        <v/>
      </c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</row>
    <row r="491">
      <c r="A491" s="16" t="str">
        <f t="shared" si="14"/>
        <v/>
      </c>
      <c r="B491" s="16" t="str">
        <f t="shared" si="15"/>
        <v/>
      </c>
      <c r="C491" s="35" t="str">
        <f t="shared" si="16"/>
        <v/>
      </c>
      <c r="D491" s="35" t="str">
        <f t="shared" si="17"/>
        <v/>
      </c>
      <c r="E491" s="35" t="str">
        <f t="shared" si="18"/>
        <v/>
      </c>
      <c r="F491" s="35" t="str">
        <f t="shared" si="19"/>
        <v/>
      </c>
      <c r="G491" s="35" t="str">
        <f t="shared" si="20"/>
        <v/>
      </c>
      <c r="H491" s="25"/>
      <c r="I491" s="47" t="str">
        <f t="shared" si="21"/>
        <v/>
      </c>
      <c r="J491" s="48"/>
      <c r="K491" s="21" t="str">
        <f t="shared" si="13"/>
        <v/>
      </c>
      <c r="L491" s="21" t="str">
        <f t="shared" si="3"/>
        <v/>
      </c>
      <c r="M491" s="21" t="str">
        <f t="array" ref="M491">IF(H491="","",SUMif(year(N$2:BO$2),M$2,N491:BO491))</f>
        <v/>
      </c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</row>
    <row r="492">
      <c r="A492" s="16" t="str">
        <f t="shared" si="14"/>
        <v/>
      </c>
      <c r="B492" s="16" t="str">
        <f t="shared" si="15"/>
        <v/>
      </c>
      <c r="C492" s="35" t="str">
        <f t="shared" si="16"/>
        <v/>
      </c>
      <c r="D492" s="35" t="str">
        <f t="shared" si="17"/>
        <v/>
      </c>
      <c r="E492" s="35" t="str">
        <f t="shared" si="18"/>
        <v/>
      </c>
      <c r="F492" s="35" t="str">
        <f t="shared" si="19"/>
        <v/>
      </c>
      <c r="G492" s="35" t="str">
        <f t="shared" si="20"/>
        <v/>
      </c>
      <c r="H492" s="25"/>
      <c r="I492" s="47" t="str">
        <f t="shared" si="21"/>
        <v/>
      </c>
      <c r="J492" s="48"/>
      <c r="K492" s="21" t="str">
        <f t="shared" si="13"/>
        <v/>
      </c>
      <c r="L492" s="21" t="str">
        <f t="shared" si="3"/>
        <v/>
      </c>
      <c r="M492" s="21" t="str">
        <f t="array" ref="M492">IF(H492="","",SUMif(year(N$2:BO$2),M$2,N492:BO492))</f>
        <v/>
      </c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</row>
    <row r="493">
      <c r="A493" s="16" t="str">
        <f t="shared" si="14"/>
        <v/>
      </c>
      <c r="B493" s="16" t="str">
        <f t="shared" si="15"/>
        <v/>
      </c>
      <c r="C493" s="35" t="str">
        <f t="shared" si="16"/>
        <v/>
      </c>
      <c r="D493" s="35" t="str">
        <f t="shared" si="17"/>
        <v/>
      </c>
      <c r="E493" s="35" t="str">
        <f t="shared" si="18"/>
        <v/>
      </c>
      <c r="F493" s="35" t="str">
        <f t="shared" si="19"/>
        <v/>
      </c>
      <c r="G493" s="35" t="str">
        <f t="shared" si="20"/>
        <v/>
      </c>
      <c r="H493" s="25"/>
      <c r="I493" s="47" t="str">
        <f t="shared" si="21"/>
        <v/>
      </c>
      <c r="J493" s="48"/>
      <c r="K493" s="21" t="str">
        <f t="shared" si="13"/>
        <v/>
      </c>
      <c r="L493" s="21" t="str">
        <f t="shared" si="3"/>
        <v/>
      </c>
      <c r="M493" s="21" t="str">
        <f t="array" ref="M493">IF(H493="","",SUMif(year(N$2:BO$2),M$2,N493:BO493))</f>
        <v/>
      </c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</row>
    <row r="494">
      <c r="A494" s="16" t="str">
        <f t="shared" si="14"/>
        <v/>
      </c>
      <c r="B494" s="16" t="str">
        <f t="shared" si="15"/>
        <v/>
      </c>
      <c r="C494" s="35" t="str">
        <f t="shared" si="16"/>
        <v/>
      </c>
      <c r="D494" s="35" t="str">
        <f t="shared" si="17"/>
        <v/>
      </c>
      <c r="E494" s="35" t="str">
        <f t="shared" si="18"/>
        <v/>
      </c>
      <c r="F494" s="35" t="str">
        <f t="shared" si="19"/>
        <v/>
      </c>
      <c r="G494" s="35" t="str">
        <f t="shared" si="20"/>
        <v/>
      </c>
      <c r="H494" s="25"/>
      <c r="I494" s="47" t="str">
        <f t="shared" si="21"/>
        <v/>
      </c>
      <c r="J494" s="48"/>
      <c r="K494" s="21" t="str">
        <f t="shared" si="13"/>
        <v/>
      </c>
      <c r="L494" s="21" t="str">
        <f t="shared" si="3"/>
        <v/>
      </c>
      <c r="M494" s="21" t="str">
        <f t="array" ref="M494">IF(H494="","",SUMif(year(N$2:BO$2),M$2,N494:BO494))</f>
        <v/>
      </c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</row>
    <row r="495">
      <c r="A495" s="16" t="str">
        <f t="shared" si="14"/>
        <v/>
      </c>
      <c r="B495" s="16" t="str">
        <f t="shared" si="15"/>
        <v/>
      </c>
      <c r="C495" s="35" t="str">
        <f t="shared" si="16"/>
        <v/>
      </c>
      <c r="D495" s="35" t="str">
        <f t="shared" si="17"/>
        <v/>
      </c>
      <c r="E495" s="35" t="str">
        <f t="shared" si="18"/>
        <v/>
      </c>
      <c r="F495" s="35" t="str">
        <f t="shared" si="19"/>
        <v/>
      </c>
      <c r="G495" s="35" t="str">
        <f t="shared" si="20"/>
        <v/>
      </c>
      <c r="H495" s="25"/>
      <c r="I495" s="47" t="str">
        <f t="shared" si="21"/>
        <v/>
      </c>
      <c r="J495" s="48"/>
      <c r="K495" s="21" t="str">
        <f t="shared" si="13"/>
        <v/>
      </c>
      <c r="L495" s="21" t="str">
        <f t="shared" si="3"/>
        <v/>
      </c>
      <c r="M495" s="21" t="str">
        <f t="array" ref="M495">IF(H495="","",SUMif(year(N$2:BO$2),M$2,N495:BO495))</f>
        <v/>
      </c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</row>
    <row r="496">
      <c r="A496" s="16" t="str">
        <f t="shared" si="14"/>
        <v/>
      </c>
      <c r="B496" s="16" t="str">
        <f t="shared" si="15"/>
        <v/>
      </c>
      <c r="C496" s="35" t="str">
        <f t="shared" si="16"/>
        <v/>
      </c>
      <c r="D496" s="35" t="str">
        <f t="shared" si="17"/>
        <v/>
      </c>
      <c r="E496" s="35" t="str">
        <f t="shared" si="18"/>
        <v/>
      </c>
      <c r="F496" s="35" t="str">
        <f t="shared" si="19"/>
        <v/>
      </c>
      <c r="G496" s="35" t="str">
        <f t="shared" si="20"/>
        <v/>
      </c>
      <c r="H496" s="25"/>
      <c r="I496" s="47" t="str">
        <f t="shared" si="21"/>
        <v/>
      </c>
      <c r="J496" s="48"/>
      <c r="K496" s="21" t="str">
        <f t="shared" si="13"/>
        <v/>
      </c>
      <c r="L496" s="21" t="str">
        <f t="shared" si="3"/>
        <v/>
      </c>
      <c r="M496" s="21" t="str">
        <f t="array" ref="M496">IF(H496="","",SUMif(year(N$2:BO$2),M$2,N496:BO496))</f>
        <v/>
      </c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</row>
    <row r="497">
      <c r="A497" s="16" t="str">
        <f t="shared" si="14"/>
        <v/>
      </c>
      <c r="B497" s="16" t="str">
        <f t="shared" si="15"/>
        <v/>
      </c>
      <c r="C497" s="35" t="str">
        <f t="shared" si="16"/>
        <v/>
      </c>
      <c r="D497" s="35" t="str">
        <f t="shared" si="17"/>
        <v/>
      </c>
      <c r="E497" s="35" t="str">
        <f t="shared" si="18"/>
        <v/>
      </c>
      <c r="F497" s="35" t="str">
        <f t="shared" si="19"/>
        <v/>
      </c>
      <c r="G497" s="35" t="str">
        <f t="shared" si="20"/>
        <v/>
      </c>
      <c r="H497" s="25"/>
      <c r="I497" s="47" t="str">
        <f t="shared" si="21"/>
        <v/>
      </c>
      <c r="J497" s="48"/>
      <c r="K497" s="21" t="str">
        <f t="shared" si="13"/>
        <v/>
      </c>
      <c r="L497" s="21" t="str">
        <f t="shared" si="3"/>
        <v/>
      </c>
      <c r="M497" s="21" t="str">
        <f t="array" ref="M497">IF(H497="","",SUMif(year(N$2:BO$2),M$2,N497:BO497))</f>
        <v/>
      </c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</row>
    <row r="498">
      <c r="A498" s="16" t="str">
        <f t="shared" si="14"/>
        <v/>
      </c>
      <c r="B498" s="16" t="str">
        <f t="shared" si="15"/>
        <v/>
      </c>
      <c r="C498" s="35" t="str">
        <f t="shared" si="16"/>
        <v/>
      </c>
      <c r="D498" s="35" t="str">
        <f t="shared" si="17"/>
        <v/>
      </c>
      <c r="E498" s="35" t="str">
        <f t="shared" si="18"/>
        <v/>
      </c>
      <c r="F498" s="35" t="str">
        <f t="shared" si="19"/>
        <v/>
      </c>
      <c r="G498" s="35" t="str">
        <f t="shared" si="20"/>
        <v/>
      </c>
      <c r="H498" s="25"/>
      <c r="I498" s="47" t="str">
        <f t="shared" si="21"/>
        <v/>
      </c>
      <c r="J498" s="48"/>
      <c r="K498" s="21" t="str">
        <f t="shared" si="13"/>
        <v/>
      </c>
      <c r="L498" s="21" t="str">
        <f t="shared" si="3"/>
        <v/>
      </c>
      <c r="M498" s="21" t="str">
        <f t="array" ref="M498">IF(H498="","",SUMif(year(N$2:BO$2),M$2,N498:BO498))</f>
        <v/>
      </c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</row>
    <row r="499">
      <c r="A499" s="16" t="str">
        <f t="shared" si="14"/>
        <v/>
      </c>
      <c r="B499" s="16" t="str">
        <f t="shared" si="15"/>
        <v/>
      </c>
      <c r="C499" s="35" t="str">
        <f t="shared" si="16"/>
        <v/>
      </c>
      <c r="D499" s="35" t="str">
        <f t="shared" si="17"/>
        <v/>
      </c>
      <c r="E499" s="35" t="str">
        <f t="shared" si="18"/>
        <v/>
      </c>
      <c r="F499" s="35" t="str">
        <f t="shared" si="19"/>
        <v/>
      </c>
      <c r="G499" s="35" t="str">
        <f t="shared" si="20"/>
        <v/>
      </c>
      <c r="H499" s="25"/>
      <c r="I499" s="47" t="str">
        <f t="shared" si="21"/>
        <v/>
      </c>
      <c r="J499" s="48"/>
      <c r="K499" s="21" t="str">
        <f t="shared" si="13"/>
        <v/>
      </c>
      <c r="L499" s="21" t="str">
        <f t="shared" si="3"/>
        <v/>
      </c>
      <c r="M499" s="21" t="str">
        <f t="array" ref="M499">IF(H499="","",SUMif(year(N$2:BO$2),M$2,N499:BO499))</f>
        <v/>
      </c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</row>
    <row r="500">
      <c r="A500" s="16" t="str">
        <f t="shared" si="14"/>
        <v/>
      </c>
      <c r="B500" s="16" t="str">
        <f t="shared" si="15"/>
        <v/>
      </c>
      <c r="C500" s="35" t="str">
        <f t="shared" si="16"/>
        <v/>
      </c>
      <c r="D500" s="35" t="str">
        <f t="shared" si="17"/>
        <v/>
      </c>
      <c r="E500" s="35" t="str">
        <f t="shared" si="18"/>
        <v/>
      </c>
      <c r="F500" s="35" t="str">
        <f t="shared" si="19"/>
        <v/>
      </c>
      <c r="G500" s="35" t="str">
        <f t="shared" si="20"/>
        <v/>
      </c>
      <c r="H500" s="25"/>
      <c r="I500" s="47" t="str">
        <f t="shared" si="21"/>
        <v/>
      </c>
      <c r="J500" s="48"/>
      <c r="K500" s="21" t="str">
        <f t="shared" si="13"/>
        <v/>
      </c>
      <c r="L500" s="21" t="str">
        <f t="shared" si="3"/>
        <v/>
      </c>
      <c r="M500" s="21" t="str">
        <f t="array" ref="M500">IF(H500="","",SUMif(year(N$2:BO$2),M$2,N500:BO500))</f>
        <v/>
      </c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</row>
    <row r="501">
      <c r="A501" s="16" t="str">
        <f t="shared" si="14"/>
        <v/>
      </c>
      <c r="B501" s="16" t="str">
        <f t="shared" si="15"/>
        <v/>
      </c>
      <c r="C501" s="35" t="str">
        <f t="shared" si="16"/>
        <v/>
      </c>
      <c r="D501" s="35" t="str">
        <f t="shared" si="17"/>
        <v/>
      </c>
      <c r="E501" s="35" t="str">
        <f t="shared" si="18"/>
        <v/>
      </c>
      <c r="F501" s="35" t="str">
        <f t="shared" si="19"/>
        <v/>
      </c>
      <c r="G501" s="35" t="str">
        <f t="shared" si="20"/>
        <v/>
      </c>
      <c r="H501" s="25"/>
      <c r="I501" s="47" t="str">
        <f t="shared" si="21"/>
        <v/>
      </c>
      <c r="J501" s="48"/>
      <c r="K501" s="21" t="str">
        <f t="shared" si="13"/>
        <v/>
      </c>
      <c r="L501" s="21" t="str">
        <f t="shared" si="3"/>
        <v/>
      </c>
      <c r="M501" s="21" t="str">
        <f t="array" ref="M501">IF(H501="","",SUMif(year(N$2:BO$2),M$2,N501:BO501))</f>
        <v/>
      </c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</row>
    <row r="502">
      <c r="A502" s="16" t="str">
        <f t="shared" si="14"/>
        <v/>
      </c>
      <c r="B502" s="16" t="str">
        <f t="shared" si="15"/>
        <v/>
      </c>
      <c r="C502" s="35" t="str">
        <f t="shared" si="16"/>
        <v/>
      </c>
      <c r="D502" s="35" t="str">
        <f t="shared" si="17"/>
        <v/>
      </c>
      <c r="E502" s="35" t="str">
        <f t="shared" si="18"/>
        <v/>
      </c>
      <c r="F502" s="35" t="str">
        <f t="shared" si="19"/>
        <v/>
      </c>
      <c r="G502" s="35" t="str">
        <f t="shared" si="20"/>
        <v/>
      </c>
      <c r="H502" s="25"/>
      <c r="I502" s="47" t="str">
        <f t="shared" si="21"/>
        <v/>
      </c>
      <c r="J502" s="48"/>
      <c r="K502" s="21" t="str">
        <f t="shared" si="13"/>
        <v/>
      </c>
      <c r="L502" s="21" t="str">
        <f t="shared" si="3"/>
        <v/>
      </c>
      <c r="M502" s="21" t="str">
        <f t="array" ref="M502">IF(H502="","",SUMif(year(N$2:BO$2),M$2,N502:BO502))</f>
        <v/>
      </c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</row>
    <row r="503">
      <c r="A503" s="16" t="str">
        <f t="shared" si="14"/>
        <v/>
      </c>
      <c r="B503" s="16" t="str">
        <f t="shared" si="15"/>
        <v/>
      </c>
      <c r="C503" s="35" t="str">
        <f t="shared" si="16"/>
        <v/>
      </c>
      <c r="D503" s="35" t="str">
        <f t="shared" si="17"/>
        <v/>
      </c>
      <c r="E503" s="35" t="str">
        <f t="shared" si="18"/>
        <v/>
      </c>
      <c r="F503" s="35" t="str">
        <f t="shared" si="19"/>
        <v/>
      </c>
      <c r="G503" s="35" t="str">
        <f t="shared" si="20"/>
        <v/>
      </c>
      <c r="H503" s="25"/>
      <c r="I503" s="47" t="str">
        <f t="shared" si="21"/>
        <v/>
      </c>
      <c r="J503" s="48"/>
      <c r="K503" s="21" t="str">
        <f t="shared" si="13"/>
        <v/>
      </c>
      <c r="L503" s="21" t="str">
        <f t="shared" si="3"/>
        <v/>
      </c>
      <c r="M503" s="21" t="str">
        <f t="array" ref="M503">IF(H503="","",SUMif(year(N$2:BO$2),M$2,N503:BO503))</f>
        <v/>
      </c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</row>
    <row r="504">
      <c r="A504" s="16" t="str">
        <f t="shared" si="14"/>
        <v/>
      </c>
      <c r="B504" s="16" t="str">
        <f t="shared" si="15"/>
        <v/>
      </c>
      <c r="C504" s="35" t="str">
        <f t="shared" si="16"/>
        <v/>
      </c>
      <c r="D504" s="35" t="str">
        <f t="shared" si="17"/>
        <v/>
      </c>
      <c r="E504" s="35" t="str">
        <f t="shared" si="18"/>
        <v/>
      </c>
      <c r="F504" s="35" t="str">
        <f t="shared" si="19"/>
        <v/>
      </c>
      <c r="G504" s="35" t="str">
        <f t="shared" si="20"/>
        <v/>
      </c>
      <c r="H504" s="25"/>
      <c r="I504" s="47" t="str">
        <f t="shared" si="21"/>
        <v/>
      </c>
      <c r="J504" s="48"/>
      <c r="K504" s="21" t="str">
        <f t="shared" si="13"/>
        <v/>
      </c>
      <c r="L504" s="21" t="str">
        <f t="shared" si="3"/>
        <v/>
      </c>
      <c r="M504" s="21" t="str">
        <f t="array" ref="M504">IF(H504="","",SUMif(year(N$2:BO$2),M$2,N504:BO504))</f>
        <v/>
      </c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</row>
    <row r="505">
      <c r="A505" s="16" t="str">
        <f t="shared" si="14"/>
        <v/>
      </c>
      <c r="B505" s="16" t="str">
        <f t="shared" si="15"/>
        <v/>
      </c>
      <c r="C505" s="35" t="str">
        <f t="shared" si="16"/>
        <v/>
      </c>
      <c r="D505" s="35" t="str">
        <f t="shared" si="17"/>
        <v/>
      </c>
      <c r="E505" s="35" t="str">
        <f t="shared" si="18"/>
        <v/>
      </c>
      <c r="F505" s="35" t="str">
        <f t="shared" si="19"/>
        <v/>
      </c>
      <c r="G505" s="35" t="str">
        <f t="shared" si="20"/>
        <v/>
      </c>
      <c r="H505" s="25"/>
      <c r="I505" s="47" t="str">
        <f t="shared" si="21"/>
        <v/>
      </c>
      <c r="J505" s="48"/>
      <c r="K505" s="21" t="str">
        <f t="shared" si="13"/>
        <v/>
      </c>
      <c r="L505" s="21" t="str">
        <f t="shared" si="3"/>
        <v/>
      </c>
      <c r="M505" s="21" t="str">
        <f t="array" ref="M505">IF(H505="","",SUMif(year(N$2:BO$2),M$2,N505:BO505))</f>
        <v/>
      </c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</row>
    <row r="506">
      <c r="A506" s="16" t="str">
        <f t="shared" si="14"/>
        <v/>
      </c>
      <c r="B506" s="16" t="str">
        <f t="shared" si="15"/>
        <v/>
      </c>
      <c r="C506" s="35" t="str">
        <f t="shared" si="16"/>
        <v/>
      </c>
      <c r="D506" s="35" t="str">
        <f t="shared" si="17"/>
        <v/>
      </c>
      <c r="E506" s="35" t="str">
        <f t="shared" si="18"/>
        <v/>
      </c>
      <c r="F506" s="35" t="str">
        <f t="shared" si="19"/>
        <v/>
      </c>
      <c r="G506" s="35" t="str">
        <f t="shared" si="20"/>
        <v/>
      </c>
      <c r="H506" s="25"/>
      <c r="I506" s="47" t="str">
        <f t="shared" si="21"/>
        <v/>
      </c>
      <c r="J506" s="48"/>
      <c r="K506" s="21" t="str">
        <f t="shared" si="13"/>
        <v/>
      </c>
      <c r="L506" s="21" t="str">
        <f t="shared" si="3"/>
        <v/>
      </c>
      <c r="M506" s="21" t="str">
        <f t="array" ref="M506">IF(H506="","",SUMif(year(N$2:BO$2),M$2,N506:BO506))</f>
        <v/>
      </c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</row>
    <row r="507">
      <c r="A507" s="16" t="str">
        <f t="shared" si="14"/>
        <v/>
      </c>
      <c r="B507" s="16" t="str">
        <f t="shared" si="15"/>
        <v/>
      </c>
      <c r="C507" s="35" t="str">
        <f t="shared" si="16"/>
        <v/>
      </c>
      <c r="D507" s="35" t="str">
        <f t="shared" si="17"/>
        <v/>
      </c>
      <c r="E507" s="35" t="str">
        <f t="shared" si="18"/>
        <v/>
      </c>
      <c r="F507" s="35" t="str">
        <f t="shared" si="19"/>
        <v/>
      </c>
      <c r="G507" s="35" t="str">
        <f t="shared" si="20"/>
        <v/>
      </c>
      <c r="H507" s="25"/>
      <c r="I507" s="47" t="str">
        <f t="shared" si="21"/>
        <v/>
      </c>
      <c r="J507" s="48"/>
      <c r="K507" s="21" t="str">
        <f t="shared" si="13"/>
        <v/>
      </c>
      <c r="L507" s="21" t="str">
        <f t="shared" si="3"/>
        <v/>
      </c>
      <c r="M507" s="21" t="str">
        <f t="array" ref="M507">IF(H507="","",SUMif(year(N$2:BO$2),M$2,N507:BO507))</f>
        <v/>
      </c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</row>
    <row r="508">
      <c r="A508" s="16" t="str">
        <f t="shared" si="14"/>
        <v/>
      </c>
      <c r="B508" s="16" t="str">
        <f t="shared" si="15"/>
        <v/>
      </c>
      <c r="C508" s="35" t="str">
        <f t="shared" si="16"/>
        <v/>
      </c>
      <c r="D508" s="35" t="str">
        <f t="shared" si="17"/>
        <v/>
      </c>
      <c r="E508" s="35" t="str">
        <f t="shared" si="18"/>
        <v/>
      </c>
      <c r="F508" s="35" t="str">
        <f t="shared" si="19"/>
        <v/>
      </c>
      <c r="G508" s="35" t="str">
        <f t="shared" si="20"/>
        <v/>
      </c>
      <c r="H508" s="25"/>
      <c r="I508" s="47" t="str">
        <f t="shared" si="21"/>
        <v/>
      </c>
      <c r="J508" s="48"/>
      <c r="K508" s="21" t="str">
        <f t="shared" si="13"/>
        <v/>
      </c>
      <c r="L508" s="21" t="str">
        <f t="shared" si="3"/>
        <v/>
      </c>
      <c r="M508" s="21" t="str">
        <f t="array" ref="M508">IF(H508="","",SUMif(year(N$2:BO$2),M$2,N508:BO508))</f>
        <v/>
      </c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</row>
    <row r="509">
      <c r="A509" s="16" t="str">
        <f t="shared" si="14"/>
        <v/>
      </c>
      <c r="B509" s="16" t="str">
        <f t="shared" si="15"/>
        <v/>
      </c>
      <c r="C509" s="35" t="str">
        <f t="shared" si="16"/>
        <v/>
      </c>
      <c r="D509" s="35" t="str">
        <f t="shared" si="17"/>
        <v/>
      </c>
      <c r="E509" s="35" t="str">
        <f t="shared" si="18"/>
        <v/>
      </c>
      <c r="F509" s="35" t="str">
        <f t="shared" si="19"/>
        <v/>
      </c>
      <c r="G509" s="35" t="str">
        <f t="shared" si="20"/>
        <v/>
      </c>
      <c r="H509" s="25"/>
      <c r="I509" s="47" t="str">
        <f t="shared" si="21"/>
        <v/>
      </c>
      <c r="J509" s="48"/>
      <c r="K509" s="21" t="str">
        <f t="shared" si="13"/>
        <v/>
      </c>
      <c r="L509" s="21" t="str">
        <f t="shared" si="3"/>
        <v/>
      </c>
      <c r="M509" s="21" t="str">
        <f t="array" ref="M509">IF(H509="","",SUMif(year(N$2:BO$2),M$2,N509:BO509))</f>
        <v/>
      </c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</row>
    <row r="510">
      <c r="A510" s="16" t="str">
        <f t="shared" si="14"/>
        <v/>
      </c>
      <c r="B510" s="16" t="str">
        <f t="shared" si="15"/>
        <v/>
      </c>
      <c r="C510" s="35" t="str">
        <f t="shared" si="16"/>
        <v/>
      </c>
      <c r="D510" s="35" t="str">
        <f t="shared" si="17"/>
        <v/>
      </c>
      <c r="E510" s="35" t="str">
        <f t="shared" si="18"/>
        <v/>
      </c>
      <c r="F510" s="35" t="str">
        <f t="shared" si="19"/>
        <v/>
      </c>
      <c r="G510" s="35" t="str">
        <f t="shared" si="20"/>
        <v/>
      </c>
      <c r="H510" s="25"/>
      <c r="I510" s="47" t="str">
        <f t="shared" si="21"/>
        <v/>
      </c>
      <c r="J510" s="48"/>
      <c r="K510" s="21" t="str">
        <f t="shared" si="13"/>
        <v/>
      </c>
      <c r="L510" s="21" t="str">
        <f t="shared" si="3"/>
        <v/>
      </c>
      <c r="M510" s="21" t="str">
        <f t="array" ref="M510">IF(H510="","",SUMif(year(N$2:BO$2),M$2,N510:BO510))</f>
        <v/>
      </c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</row>
    <row r="511">
      <c r="A511" s="16" t="str">
        <f t="shared" si="14"/>
        <v/>
      </c>
      <c r="B511" s="16" t="str">
        <f t="shared" si="15"/>
        <v/>
      </c>
      <c r="C511" s="35" t="str">
        <f t="shared" si="16"/>
        <v/>
      </c>
      <c r="D511" s="35" t="str">
        <f t="shared" si="17"/>
        <v/>
      </c>
      <c r="E511" s="35" t="str">
        <f t="shared" si="18"/>
        <v/>
      </c>
      <c r="F511" s="35" t="str">
        <f t="shared" si="19"/>
        <v/>
      </c>
      <c r="G511" s="35" t="str">
        <f t="shared" si="20"/>
        <v/>
      </c>
      <c r="H511" s="25"/>
      <c r="I511" s="47" t="str">
        <f t="shared" si="21"/>
        <v/>
      </c>
      <c r="J511" s="48"/>
      <c r="K511" s="21" t="str">
        <f t="shared" si="13"/>
        <v/>
      </c>
      <c r="L511" s="21" t="str">
        <f t="shared" si="3"/>
        <v/>
      </c>
      <c r="M511" s="21" t="str">
        <f t="array" ref="M511">IF(H511="","",SUMif(year(N$2:BO$2),M$2,N511:BO511))</f>
        <v/>
      </c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</row>
    <row r="512">
      <c r="A512" s="16" t="str">
        <f t="shared" si="14"/>
        <v/>
      </c>
      <c r="B512" s="16" t="str">
        <f t="shared" si="15"/>
        <v/>
      </c>
      <c r="C512" s="35" t="str">
        <f t="shared" si="16"/>
        <v/>
      </c>
      <c r="D512" s="35" t="str">
        <f t="shared" si="17"/>
        <v/>
      </c>
      <c r="E512" s="35" t="str">
        <f t="shared" si="18"/>
        <v/>
      </c>
      <c r="F512" s="35" t="str">
        <f t="shared" si="19"/>
        <v/>
      </c>
      <c r="G512" s="35" t="str">
        <f t="shared" si="20"/>
        <v/>
      </c>
      <c r="H512" s="25"/>
      <c r="I512" s="47" t="str">
        <f t="shared" si="21"/>
        <v/>
      </c>
      <c r="J512" s="48"/>
      <c r="K512" s="21" t="str">
        <f t="shared" si="13"/>
        <v/>
      </c>
      <c r="L512" s="21" t="str">
        <f t="shared" si="3"/>
        <v/>
      </c>
      <c r="M512" s="21" t="str">
        <f t="array" ref="M512">IF(H512="","",SUMif(year(N$2:BO$2),M$2,N512:BO512))</f>
        <v/>
      </c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</row>
    <row r="513">
      <c r="A513" s="16" t="str">
        <f t="shared" si="14"/>
        <v/>
      </c>
      <c r="B513" s="16" t="str">
        <f t="shared" si="15"/>
        <v/>
      </c>
      <c r="C513" s="35" t="str">
        <f t="shared" si="16"/>
        <v/>
      </c>
      <c r="D513" s="35" t="str">
        <f t="shared" si="17"/>
        <v/>
      </c>
      <c r="E513" s="35" t="str">
        <f t="shared" si="18"/>
        <v/>
      </c>
      <c r="F513" s="35" t="str">
        <f t="shared" si="19"/>
        <v/>
      </c>
      <c r="G513" s="35" t="str">
        <f t="shared" si="20"/>
        <v/>
      </c>
      <c r="H513" s="25"/>
      <c r="I513" s="47" t="str">
        <f t="shared" si="21"/>
        <v/>
      </c>
      <c r="J513" s="48"/>
      <c r="K513" s="21" t="str">
        <f t="shared" si="13"/>
        <v/>
      </c>
      <c r="L513" s="21" t="str">
        <f t="shared" si="3"/>
        <v/>
      </c>
      <c r="M513" s="21" t="str">
        <f t="array" ref="M513">IF(H513="","",SUMif(year(N$2:BO$2),M$2,N513:BO513))</f>
        <v/>
      </c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</row>
    <row r="514">
      <c r="A514" s="16" t="str">
        <f t="shared" si="14"/>
        <v/>
      </c>
      <c r="B514" s="16" t="str">
        <f t="shared" si="15"/>
        <v/>
      </c>
      <c r="C514" s="35" t="str">
        <f t="shared" si="16"/>
        <v/>
      </c>
      <c r="D514" s="35" t="str">
        <f t="shared" si="17"/>
        <v/>
      </c>
      <c r="E514" s="35" t="str">
        <f t="shared" si="18"/>
        <v/>
      </c>
      <c r="F514" s="35" t="str">
        <f t="shared" si="19"/>
        <v/>
      </c>
      <c r="G514" s="35" t="str">
        <f t="shared" si="20"/>
        <v/>
      </c>
      <c r="H514" s="25"/>
      <c r="I514" s="47" t="str">
        <f t="shared" si="21"/>
        <v/>
      </c>
      <c r="J514" s="48"/>
      <c r="K514" s="21" t="str">
        <f t="shared" si="13"/>
        <v/>
      </c>
      <c r="L514" s="21" t="str">
        <f t="shared" si="3"/>
        <v/>
      </c>
      <c r="M514" s="21" t="str">
        <f t="array" ref="M514">IF(H514="","",SUMif(year(N$2:BO$2),M$2,N514:BO514))</f>
        <v/>
      </c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</row>
    <row r="515">
      <c r="A515" s="16" t="str">
        <f t="shared" si="14"/>
        <v/>
      </c>
      <c r="B515" s="16" t="str">
        <f t="shared" si="15"/>
        <v/>
      </c>
      <c r="C515" s="35" t="str">
        <f t="shared" si="16"/>
        <v/>
      </c>
      <c r="D515" s="35" t="str">
        <f t="shared" si="17"/>
        <v/>
      </c>
      <c r="E515" s="35" t="str">
        <f t="shared" si="18"/>
        <v/>
      </c>
      <c r="F515" s="35" t="str">
        <f t="shared" si="19"/>
        <v/>
      </c>
      <c r="G515" s="35" t="str">
        <f t="shared" si="20"/>
        <v/>
      </c>
      <c r="H515" s="25"/>
      <c r="I515" s="47" t="str">
        <f t="shared" si="21"/>
        <v/>
      </c>
      <c r="J515" s="48"/>
      <c r="K515" s="21" t="str">
        <f t="shared" si="13"/>
        <v/>
      </c>
      <c r="L515" s="21" t="str">
        <f t="shared" si="3"/>
        <v/>
      </c>
      <c r="M515" s="21" t="str">
        <f t="array" ref="M515">IF(H515="","",SUMif(year(N$2:BO$2),M$2,N515:BO515))</f>
        <v/>
      </c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</row>
    <row r="516">
      <c r="A516" s="16" t="str">
        <f t="shared" si="14"/>
        <v/>
      </c>
      <c r="B516" s="16" t="str">
        <f t="shared" si="15"/>
        <v/>
      </c>
      <c r="C516" s="35" t="str">
        <f t="shared" si="16"/>
        <v/>
      </c>
      <c r="D516" s="35" t="str">
        <f t="shared" si="17"/>
        <v/>
      </c>
      <c r="E516" s="35" t="str">
        <f t="shared" si="18"/>
        <v/>
      </c>
      <c r="F516" s="35" t="str">
        <f t="shared" si="19"/>
        <v/>
      </c>
      <c r="G516" s="35" t="str">
        <f t="shared" si="20"/>
        <v/>
      </c>
      <c r="H516" s="25"/>
      <c r="I516" s="47" t="str">
        <f t="shared" si="21"/>
        <v/>
      </c>
      <c r="J516" s="48"/>
      <c r="K516" s="21" t="str">
        <f t="shared" si="13"/>
        <v/>
      </c>
      <c r="L516" s="21" t="str">
        <f t="shared" si="3"/>
        <v/>
      </c>
      <c r="M516" s="21" t="str">
        <f t="array" ref="M516">IF(H516="","",SUMif(year(N$2:BO$2),M$2,N516:BO516))</f>
        <v/>
      </c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</row>
    <row r="517">
      <c r="A517" s="16" t="str">
        <f t="shared" si="14"/>
        <v/>
      </c>
      <c r="B517" s="16" t="str">
        <f t="shared" si="15"/>
        <v/>
      </c>
      <c r="C517" s="35" t="str">
        <f t="shared" si="16"/>
        <v/>
      </c>
      <c r="D517" s="35" t="str">
        <f t="shared" si="17"/>
        <v/>
      </c>
      <c r="E517" s="35" t="str">
        <f t="shared" si="18"/>
        <v/>
      </c>
      <c r="F517" s="35" t="str">
        <f t="shared" si="19"/>
        <v/>
      </c>
      <c r="G517" s="35" t="str">
        <f t="shared" si="20"/>
        <v/>
      </c>
      <c r="H517" s="25"/>
      <c r="I517" s="47" t="str">
        <f t="shared" si="21"/>
        <v/>
      </c>
      <c r="J517" s="48"/>
      <c r="K517" s="21" t="str">
        <f t="shared" si="13"/>
        <v/>
      </c>
      <c r="L517" s="21" t="str">
        <f t="shared" si="3"/>
        <v/>
      </c>
      <c r="M517" s="21" t="str">
        <f t="array" ref="M517">IF(H517="","",SUMif(year(N$2:BO$2),M$2,N517:BO517))</f>
        <v/>
      </c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</row>
    <row r="518">
      <c r="A518" s="16" t="str">
        <f t="shared" si="14"/>
        <v/>
      </c>
      <c r="B518" s="16" t="str">
        <f t="shared" si="15"/>
        <v/>
      </c>
      <c r="C518" s="35" t="str">
        <f t="shared" si="16"/>
        <v/>
      </c>
      <c r="D518" s="35" t="str">
        <f t="shared" si="17"/>
        <v/>
      </c>
      <c r="E518" s="35" t="str">
        <f t="shared" si="18"/>
        <v/>
      </c>
      <c r="F518" s="35" t="str">
        <f t="shared" si="19"/>
        <v/>
      </c>
      <c r="G518" s="35" t="str">
        <f t="shared" si="20"/>
        <v/>
      </c>
      <c r="H518" s="25"/>
      <c r="I518" s="47" t="str">
        <f t="shared" si="21"/>
        <v/>
      </c>
      <c r="J518" s="48"/>
      <c r="K518" s="21" t="str">
        <f t="shared" si="13"/>
        <v/>
      </c>
      <c r="L518" s="21" t="str">
        <f t="shared" si="3"/>
        <v/>
      </c>
      <c r="M518" s="21" t="str">
        <f t="array" ref="M518">IF(H518="","",SUMif(year(N$2:BO$2),M$2,N518:BO518))</f>
        <v/>
      </c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</row>
    <row r="519">
      <c r="A519" s="16" t="str">
        <f t="shared" si="14"/>
        <v/>
      </c>
      <c r="B519" s="16" t="str">
        <f t="shared" si="15"/>
        <v/>
      </c>
      <c r="C519" s="35" t="str">
        <f t="shared" si="16"/>
        <v/>
      </c>
      <c r="D519" s="35" t="str">
        <f t="shared" si="17"/>
        <v/>
      </c>
      <c r="E519" s="35" t="str">
        <f t="shared" si="18"/>
        <v/>
      </c>
      <c r="F519" s="35" t="str">
        <f t="shared" si="19"/>
        <v/>
      </c>
      <c r="G519" s="35" t="str">
        <f t="shared" si="20"/>
        <v/>
      </c>
      <c r="H519" s="25"/>
      <c r="I519" s="47" t="str">
        <f t="shared" si="21"/>
        <v/>
      </c>
      <c r="J519" s="48"/>
      <c r="K519" s="21" t="str">
        <f t="shared" si="13"/>
        <v/>
      </c>
      <c r="L519" s="21" t="str">
        <f t="shared" si="3"/>
        <v/>
      </c>
      <c r="M519" s="21" t="str">
        <f t="array" ref="M519">IF(H519="","",SUMif(year(N$2:BO$2),M$2,N519:BO519))</f>
        <v/>
      </c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</row>
    <row r="520">
      <c r="A520" s="16" t="str">
        <f t="shared" si="14"/>
        <v/>
      </c>
      <c r="B520" s="16" t="str">
        <f t="shared" si="15"/>
        <v/>
      </c>
      <c r="C520" s="35" t="str">
        <f t="shared" si="16"/>
        <v/>
      </c>
      <c r="D520" s="35" t="str">
        <f t="shared" si="17"/>
        <v/>
      </c>
      <c r="E520" s="35" t="str">
        <f t="shared" si="18"/>
        <v/>
      </c>
      <c r="F520" s="35" t="str">
        <f t="shared" si="19"/>
        <v/>
      </c>
      <c r="G520" s="35" t="str">
        <f t="shared" si="20"/>
        <v/>
      </c>
      <c r="H520" s="25"/>
      <c r="I520" s="47" t="str">
        <f t="shared" si="21"/>
        <v/>
      </c>
      <c r="J520" s="48"/>
      <c r="K520" s="21" t="str">
        <f t="shared" si="13"/>
        <v/>
      </c>
      <c r="L520" s="21" t="str">
        <f t="shared" si="3"/>
        <v/>
      </c>
      <c r="M520" s="21" t="str">
        <f t="array" ref="M520">IF(H520="","",SUMif(year(N$2:BO$2),M$2,N520:BO520))</f>
        <v/>
      </c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</row>
    <row r="521">
      <c r="A521" s="16" t="str">
        <f t="shared" si="14"/>
        <v/>
      </c>
      <c r="B521" s="16" t="str">
        <f t="shared" si="15"/>
        <v/>
      </c>
      <c r="C521" s="35" t="str">
        <f t="shared" si="16"/>
        <v/>
      </c>
      <c r="D521" s="35" t="str">
        <f t="shared" si="17"/>
        <v/>
      </c>
      <c r="E521" s="35" t="str">
        <f t="shared" si="18"/>
        <v/>
      </c>
      <c r="F521" s="35" t="str">
        <f t="shared" si="19"/>
        <v/>
      </c>
      <c r="G521" s="35" t="str">
        <f t="shared" si="20"/>
        <v/>
      </c>
      <c r="H521" s="25"/>
      <c r="I521" s="47" t="str">
        <f t="shared" si="21"/>
        <v/>
      </c>
      <c r="J521" s="48"/>
      <c r="K521" s="21" t="str">
        <f t="shared" si="13"/>
        <v/>
      </c>
      <c r="L521" s="21" t="str">
        <f t="shared" si="3"/>
        <v/>
      </c>
      <c r="M521" s="21" t="str">
        <f t="array" ref="M521">IF(H521="","",SUMif(year(N$2:BO$2),M$2,N521:BO521))</f>
        <v/>
      </c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</row>
    <row r="522">
      <c r="A522" s="16" t="str">
        <f t="shared" si="14"/>
        <v/>
      </c>
      <c r="B522" s="16" t="str">
        <f t="shared" si="15"/>
        <v/>
      </c>
      <c r="C522" s="35" t="str">
        <f t="shared" si="16"/>
        <v/>
      </c>
      <c r="D522" s="35" t="str">
        <f t="shared" si="17"/>
        <v/>
      </c>
      <c r="E522" s="35" t="str">
        <f t="shared" si="18"/>
        <v/>
      </c>
      <c r="F522" s="35" t="str">
        <f t="shared" si="19"/>
        <v/>
      </c>
      <c r="G522" s="35" t="str">
        <f t="shared" si="20"/>
        <v/>
      </c>
      <c r="H522" s="25"/>
      <c r="I522" s="47" t="str">
        <f t="shared" si="21"/>
        <v/>
      </c>
      <c r="J522" s="48"/>
      <c r="K522" s="21" t="str">
        <f t="shared" si="13"/>
        <v/>
      </c>
      <c r="L522" s="21" t="str">
        <f t="shared" si="3"/>
        <v/>
      </c>
      <c r="M522" s="21" t="str">
        <f t="array" ref="M522">IF(H522="","",SUMif(year(N$2:BO$2),M$2,N522:BO522))</f>
        <v/>
      </c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</row>
    <row r="523">
      <c r="A523" s="16" t="str">
        <f t="shared" si="14"/>
        <v/>
      </c>
      <c r="B523" s="16" t="str">
        <f t="shared" si="15"/>
        <v/>
      </c>
      <c r="C523" s="35" t="str">
        <f t="shared" si="16"/>
        <v/>
      </c>
      <c r="D523" s="35" t="str">
        <f t="shared" si="17"/>
        <v/>
      </c>
      <c r="E523" s="35" t="str">
        <f t="shared" si="18"/>
        <v/>
      </c>
      <c r="F523" s="35" t="str">
        <f t="shared" si="19"/>
        <v/>
      </c>
      <c r="G523" s="35" t="str">
        <f t="shared" si="20"/>
        <v/>
      </c>
      <c r="H523" s="25"/>
      <c r="I523" s="47" t="str">
        <f t="shared" si="21"/>
        <v/>
      </c>
      <c r="J523" s="48"/>
      <c r="K523" s="21" t="str">
        <f t="shared" si="13"/>
        <v/>
      </c>
      <c r="L523" s="21" t="str">
        <f t="shared" si="3"/>
        <v/>
      </c>
      <c r="M523" s="21" t="str">
        <f t="array" ref="M523">IF(H523="","",SUMif(year(N$2:BO$2),M$2,N523:BO523))</f>
        <v/>
      </c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</row>
    <row r="524">
      <c r="A524" s="16" t="str">
        <f t="shared" si="14"/>
        <v/>
      </c>
      <c r="B524" s="16" t="str">
        <f t="shared" si="15"/>
        <v/>
      </c>
      <c r="C524" s="35" t="str">
        <f t="shared" si="16"/>
        <v/>
      </c>
      <c r="D524" s="35" t="str">
        <f t="shared" si="17"/>
        <v/>
      </c>
      <c r="E524" s="35" t="str">
        <f t="shared" si="18"/>
        <v/>
      </c>
      <c r="F524" s="35" t="str">
        <f t="shared" si="19"/>
        <v/>
      </c>
      <c r="G524" s="35" t="str">
        <f t="shared" si="20"/>
        <v/>
      </c>
      <c r="H524" s="25"/>
      <c r="I524" s="47" t="str">
        <f t="shared" si="21"/>
        <v/>
      </c>
      <c r="J524" s="48"/>
      <c r="K524" s="21" t="str">
        <f t="shared" si="13"/>
        <v/>
      </c>
      <c r="L524" s="21" t="str">
        <f t="shared" si="3"/>
        <v/>
      </c>
      <c r="M524" s="21" t="str">
        <f t="array" ref="M524">IF(H524="","",SUMif(year(N$2:BO$2),M$2,N524:BO524))</f>
        <v/>
      </c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</row>
    <row r="525">
      <c r="A525" s="16" t="str">
        <f t="shared" si="14"/>
        <v/>
      </c>
      <c r="B525" s="16" t="str">
        <f t="shared" si="15"/>
        <v/>
      </c>
      <c r="C525" s="35" t="str">
        <f t="shared" si="16"/>
        <v/>
      </c>
      <c r="D525" s="35" t="str">
        <f t="shared" si="17"/>
        <v/>
      </c>
      <c r="E525" s="35" t="str">
        <f t="shared" si="18"/>
        <v/>
      </c>
      <c r="F525" s="35" t="str">
        <f t="shared" si="19"/>
        <v/>
      </c>
      <c r="G525" s="35" t="str">
        <f t="shared" si="20"/>
        <v/>
      </c>
      <c r="H525" s="25"/>
      <c r="I525" s="47" t="str">
        <f t="shared" si="21"/>
        <v/>
      </c>
      <c r="J525" s="48"/>
      <c r="K525" s="21" t="str">
        <f t="shared" si="13"/>
        <v/>
      </c>
      <c r="L525" s="21" t="str">
        <f t="shared" si="3"/>
        <v/>
      </c>
      <c r="M525" s="21" t="str">
        <f t="array" ref="M525">IF(H525="","",SUMif(year(N$2:BO$2),M$2,N525:BO525))</f>
        <v/>
      </c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</row>
    <row r="526">
      <c r="A526" s="16" t="str">
        <f t="shared" si="14"/>
        <v/>
      </c>
      <c r="B526" s="16" t="str">
        <f t="shared" si="15"/>
        <v/>
      </c>
      <c r="C526" s="35" t="str">
        <f t="shared" si="16"/>
        <v/>
      </c>
      <c r="D526" s="35" t="str">
        <f t="shared" si="17"/>
        <v/>
      </c>
      <c r="E526" s="35" t="str">
        <f t="shared" si="18"/>
        <v/>
      </c>
      <c r="F526" s="35" t="str">
        <f t="shared" si="19"/>
        <v/>
      </c>
      <c r="G526" s="35" t="str">
        <f t="shared" si="20"/>
        <v/>
      </c>
      <c r="H526" s="25"/>
      <c r="I526" s="47" t="str">
        <f t="shared" si="21"/>
        <v/>
      </c>
      <c r="J526" s="48"/>
      <c r="K526" s="21" t="str">
        <f t="shared" si="13"/>
        <v/>
      </c>
      <c r="L526" s="21" t="str">
        <f t="shared" si="3"/>
        <v/>
      </c>
      <c r="M526" s="21" t="str">
        <f t="array" ref="M526">IF(H526="","",SUMif(year(N$2:BO$2),M$2,N526:BO526))</f>
        <v/>
      </c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</row>
    <row r="527">
      <c r="A527" s="16" t="str">
        <f t="shared" si="14"/>
        <v/>
      </c>
      <c r="B527" s="16" t="str">
        <f t="shared" si="15"/>
        <v/>
      </c>
      <c r="C527" s="35" t="str">
        <f t="shared" si="16"/>
        <v/>
      </c>
      <c r="D527" s="35" t="str">
        <f t="shared" si="17"/>
        <v/>
      </c>
      <c r="E527" s="35" t="str">
        <f t="shared" si="18"/>
        <v/>
      </c>
      <c r="F527" s="35" t="str">
        <f t="shared" si="19"/>
        <v/>
      </c>
      <c r="G527" s="35" t="str">
        <f t="shared" si="20"/>
        <v/>
      </c>
      <c r="H527" s="25"/>
      <c r="I527" s="47" t="str">
        <f t="shared" si="21"/>
        <v/>
      </c>
      <c r="J527" s="48"/>
      <c r="K527" s="21" t="str">
        <f t="shared" si="13"/>
        <v/>
      </c>
      <c r="L527" s="21" t="str">
        <f t="shared" si="3"/>
        <v/>
      </c>
      <c r="M527" s="21" t="str">
        <f t="array" ref="M527">IF(H527="","",SUMif(year(N$2:BO$2),M$2,N527:BO527))</f>
        <v/>
      </c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</row>
    <row r="528">
      <c r="A528" s="16" t="str">
        <f t="shared" si="14"/>
        <v/>
      </c>
      <c r="B528" s="16" t="str">
        <f t="shared" si="15"/>
        <v/>
      </c>
      <c r="C528" s="35" t="str">
        <f t="shared" si="16"/>
        <v/>
      </c>
      <c r="D528" s="35" t="str">
        <f t="shared" si="17"/>
        <v/>
      </c>
      <c r="E528" s="35" t="str">
        <f t="shared" si="18"/>
        <v/>
      </c>
      <c r="F528" s="35" t="str">
        <f t="shared" si="19"/>
        <v/>
      </c>
      <c r="G528" s="35" t="str">
        <f t="shared" si="20"/>
        <v/>
      </c>
      <c r="H528" s="25"/>
      <c r="I528" s="47" t="str">
        <f t="shared" si="21"/>
        <v/>
      </c>
      <c r="J528" s="48"/>
      <c r="K528" s="21" t="str">
        <f t="shared" si="13"/>
        <v/>
      </c>
      <c r="L528" s="21" t="str">
        <f t="shared" si="3"/>
        <v/>
      </c>
      <c r="M528" s="21" t="str">
        <f t="array" ref="M528">IF(H528="","",SUMif(year(N$2:BO$2),M$2,N528:BO528))</f>
        <v/>
      </c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</row>
    <row r="529">
      <c r="A529" s="16" t="str">
        <f t="shared" si="14"/>
        <v/>
      </c>
      <c r="B529" s="16" t="str">
        <f t="shared" si="15"/>
        <v/>
      </c>
      <c r="C529" s="35" t="str">
        <f t="shared" si="16"/>
        <v/>
      </c>
      <c r="D529" s="35" t="str">
        <f t="shared" si="17"/>
        <v/>
      </c>
      <c r="E529" s="35" t="str">
        <f t="shared" si="18"/>
        <v/>
      </c>
      <c r="F529" s="35" t="str">
        <f t="shared" si="19"/>
        <v/>
      </c>
      <c r="G529" s="35" t="str">
        <f t="shared" si="20"/>
        <v/>
      </c>
      <c r="H529" s="25"/>
      <c r="I529" s="47" t="str">
        <f t="shared" si="21"/>
        <v/>
      </c>
      <c r="J529" s="48"/>
      <c r="K529" s="21" t="str">
        <f t="shared" si="13"/>
        <v/>
      </c>
      <c r="L529" s="21" t="str">
        <f t="shared" si="3"/>
        <v/>
      </c>
      <c r="M529" s="21" t="str">
        <f t="array" ref="M529">IF(H529="","",SUMif(year(N$2:BO$2),M$2,N529:BO529))</f>
        <v/>
      </c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</row>
    <row r="530">
      <c r="A530" s="16" t="str">
        <f t="shared" si="14"/>
        <v/>
      </c>
      <c r="B530" s="16" t="str">
        <f t="shared" si="15"/>
        <v/>
      </c>
      <c r="C530" s="35" t="str">
        <f t="shared" si="16"/>
        <v/>
      </c>
      <c r="D530" s="35" t="str">
        <f t="shared" si="17"/>
        <v/>
      </c>
      <c r="E530" s="35" t="str">
        <f t="shared" si="18"/>
        <v/>
      </c>
      <c r="F530" s="35" t="str">
        <f t="shared" si="19"/>
        <v/>
      </c>
      <c r="G530" s="35" t="str">
        <f t="shared" si="20"/>
        <v/>
      </c>
      <c r="H530" s="25"/>
      <c r="I530" s="47" t="str">
        <f t="shared" si="21"/>
        <v/>
      </c>
      <c r="J530" s="48"/>
      <c r="K530" s="21" t="str">
        <f t="shared" si="13"/>
        <v/>
      </c>
      <c r="L530" s="21" t="str">
        <f t="shared" si="3"/>
        <v/>
      </c>
      <c r="M530" s="21" t="str">
        <f t="array" ref="M530">IF(H530="","",SUMif(year(N$2:BO$2),M$2,N530:BO530))</f>
        <v/>
      </c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</row>
    <row r="531">
      <c r="A531" s="16" t="str">
        <f t="shared" si="14"/>
        <v/>
      </c>
      <c r="B531" s="16" t="str">
        <f t="shared" si="15"/>
        <v/>
      </c>
      <c r="C531" s="35" t="str">
        <f t="shared" si="16"/>
        <v/>
      </c>
      <c r="D531" s="35" t="str">
        <f t="shared" si="17"/>
        <v/>
      </c>
      <c r="E531" s="35" t="str">
        <f t="shared" si="18"/>
        <v/>
      </c>
      <c r="F531" s="35" t="str">
        <f t="shared" si="19"/>
        <v/>
      </c>
      <c r="G531" s="35" t="str">
        <f t="shared" si="20"/>
        <v/>
      </c>
      <c r="H531" s="25"/>
      <c r="I531" s="47" t="str">
        <f t="shared" si="21"/>
        <v/>
      </c>
      <c r="J531" s="48"/>
      <c r="K531" s="21" t="str">
        <f t="shared" si="13"/>
        <v/>
      </c>
      <c r="L531" s="21" t="str">
        <f t="shared" si="3"/>
        <v/>
      </c>
      <c r="M531" s="21" t="str">
        <f t="array" ref="M531">IF(H531="","",SUMif(year(N$2:BO$2),M$2,N531:BO531))</f>
        <v/>
      </c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</row>
    <row r="532">
      <c r="A532" s="16" t="str">
        <f t="shared" si="14"/>
        <v/>
      </c>
      <c r="B532" s="16" t="str">
        <f t="shared" si="15"/>
        <v/>
      </c>
      <c r="C532" s="35" t="str">
        <f t="shared" si="16"/>
        <v/>
      </c>
      <c r="D532" s="35" t="str">
        <f t="shared" si="17"/>
        <v/>
      </c>
      <c r="E532" s="35" t="str">
        <f t="shared" si="18"/>
        <v/>
      </c>
      <c r="F532" s="35" t="str">
        <f t="shared" si="19"/>
        <v/>
      </c>
      <c r="G532" s="35" t="str">
        <f t="shared" si="20"/>
        <v/>
      </c>
      <c r="H532" s="25"/>
      <c r="I532" s="47" t="str">
        <f t="shared" si="21"/>
        <v/>
      </c>
      <c r="J532" s="48"/>
      <c r="K532" s="21" t="str">
        <f t="shared" si="13"/>
        <v/>
      </c>
      <c r="L532" s="21" t="str">
        <f t="shared" si="3"/>
        <v/>
      </c>
      <c r="M532" s="21" t="str">
        <f t="array" ref="M532">IF(H532="","",SUMif(year(N$2:BO$2),M$2,N532:BO532))</f>
        <v/>
      </c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</row>
    <row r="533">
      <c r="A533" s="16" t="str">
        <f t="shared" si="14"/>
        <v/>
      </c>
      <c r="B533" s="16" t="str">
        <f t="shared" si="15"/>
        <v/>
      </c>
      <c r="C533" s="35" t="str">
        <f t="shared" si="16"/>
        <v/>
      </c>
      <c r="D533" s="35" t="str">
        <f t="shared" si="17"/>
        <v/>
      </c>
      <c r="E533" s="35" t="str">
        <f t="shared" si="18"/>
        <v/>
      </c>
      <c r="F533" s="35" t="str">
        <f t="shared" si="19"/>
        <v/>
      </c>
      <c r="G533" s="35" t="str">
        <f t="shared" si="20"/>
        <v/>
      </c>
      <c r="H533" s="25"/>
      <c r="I533" s="47" t="str">
        <f t="shared" si="21"/>
        <v/>
      </c>
      <c r="J533" s="48"/>
      <c r="K533" s="21" t="str">
        <f t="shared" si="13"/>
        <v/>
      </c>
      <c r="L533" s="21" t="str">
        <f t="shared" si="3"/>
        <v/>
      </c>
      <c r="M533" s="21" t="str">
        <f t="array" ref="M533">IF(H533="","",SUMif(year(N$2:BO$2),M$2,N533:BO533))</f>
        <v/>
      </c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</row>
    <row r="534">
      <c r="A534" s="16" t="str">
        <f t="shared" si="14"/>
        <v/>
      </c>
      <c r="B534" s="16" t="str">
        <f t="shared" si="15"/>
        <v/>
      </c>
      <c r="C534" s="35" t="str">
        <f t="shared" si="16"/>
        <v/>
      </c>
      <c r="D534" s="35" t="str">
        <f t="shared" si="17"/>
        <v/>
      </c>
      <c r="E534" s="35" t="str">
        <f t="shared" si="18"/>
        <v/>
      </c>
      <c r="F534" s="35" t="str">
        <f t="shared" si="19"/>
        <v/>
      </c>
      <c r="G534" s="35" t="str">
        <f t="shared" si="20"/>
        <v/>
      </c>
      <c r="H534" s="25"/>
      <c r="I534" s="47" t="str">
        <f t="shared" si="21"/>
        <v/>
      </c>
      <c r="J534" s="48"/>
      <c r="K534" s="21" t="str">
        <f t="shared" si="13"/>
        <v/>
      </c>
      <c r="L534" s="21" t="str">
        <f t="shared" si="3"/>
        <v/>
      </c>
      <c r="M534" s="21" t="str">
        <f t="array" ref="M534">IF(H534="","",SUMif(year(N$2:BO$2),M$2,N534:BO534))</f>
        <v/>
      </c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</row>
    <row r="535">
      <c r="A535" s="16" t="str">
        <f t="shared" si="14"/>
        <v/>
      </c>
      <c r="B535" s="16" t="str">
        <f t="shared" si="15"/>
        <v/>
      </c>
      <c r="C535" s="35" t="str">
        <f t="shared" si="16"/>
        <v/>
      </c>
      <c r="D535" s="35" t="str">
        <f t="shared" si="17"/>
        <v/>
      </c>
      <c r="E535" s="35" t="str">
        <f t="shared" si="18"/>
        <v/>
      </c>
      <c r="F535" s="35" t="str">
        <f t="shared" si="19"/>
        <v/>
      </c>
      <c r="G535" s="35" t="str">
        <f t="shared" si="20"/>
        <v/>
      </c>
      <c r="H535" s="25"/>
      <c r="I535" s="47" t="str">
        <f t="shared" si="21"/>
        <v/>
      </c>
      <c r="J535" s="48"/>
      <c r="K535" s="21" t="str">
        <f t="shared" si="13"/>
        <v/>
      </c>
      <c r="L535" s="21" t="str">
        <f t="shared" si="3"/>
        <v/>
      </c>
      <c r="M535" s="21" t="str">
        <f t="array" ref="M535">IF(H535="","",SUMif(year(N$2:BO$2),M$2,N535:BO535))</f>
        <v/>
      </c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</row>
    <row r="536">
      <c r="A536" s="16" t="str">
        <f t="shared" si="14"/>
        <v/>
      </c>
      <c r="B536" s="16" t="str">
        <f t="shared" si="15"/>
        <v/>
      </c>
      <c r="C536" s="35" t="str">
        <f t="shared" si="16"/>
        <v/>
      </c>
      <c r="D536" s="35" t="str">
        <f t="shared" si="17"/>
        <v/>
      </c>
      <c r="E536" s="35" t="str">
        <f t="shared" si="18"/>
        <v/>
      </c>
      <c r="F536" s="35" t="str">
        <f t="shared" si="19"/>
        <v/>
      </c>
      <c r="G536" s="35" t="str">
        <f t="shared" si="20"/>
        <v/>
      </c>
      <c r="H536" s="25"/>
      <c r="I536" s="47" t="str">
        <f t="shared" si="21"/>
        <v/>
      </c>
      <c r="J536" s="48"/>
      <c r="K536" s="21" t="str">
        <f t="shared" si="13"/>
        <v/>
      </c>
      <c r="L536" s="21" t="str">
        <f t="shared" si="3"/>
        <v/>
      </c>
      <c r="M536" s="21" t="str">
        <f t="array" ref="M536">IF(H536="","",SUMif(year(N$2:BO$2),M$2,N536:BO536))</f>
        <v/>
      </c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</row>
    <row r="537">
      <c r="A537" s="16" t="str">
        <f t="shared" si="14"/>
        <v/>
      </c>
      <c r="B537" s="16" t="str">
        <f t="shared" si="15"/>
        <v/>
      </c>
      <c r="C537" s="35" t="str">
        <f t="shared" si="16"/>
        <v/>
      </c>
      <c r="D537" s="35" t="str">
        <f t="shared" si="17"/>
        <v/>
      </c>
      <c r="E537" s="35" t="str">
        <f t="shared" si="18"/>
        <v/>
      </c>
      <c r="F537" s="35" t="str">
        <f t="shared" si="19"/>
        <v/>
      </c>
      <c r="G537" s="35" t="str">
        <f t="shared" si="20"/>
        <v/>
      </c>
      <c r="H537" s="25"/>
      <c r="I537" s="47" t="str">
        <f t="shared" si="21"/>
        <v/>
      </c>
      <c r="J537" s="48"/>
      <c r="K537" s="21" t="str">
        <f t="shared" si="13"/>
        <v/>
      </c>
      <c r="L537" s="21" t="str">
        <f t="shared" si="3"/>
        <v/>
      </c>
      <c r="M537" s="21" t="str">
        <f t="array" ref="M537">IF(H537="","",SUMif(year(N$2:BO$2),M$2,N537:BO537))</f>
        <v/>
      </c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</row>
    <row r="538">
      <c r="A538" s="16" t="str">
        <f t="shared" si="14"/>
        <v/>
      </c>
      <c r="B538" s="16" t="str">
        <f t="shared" si="15"/>
        <v/>
      </c>
      <c r="C538" s="35" t="str">
        <f t="shared" si="16"/>
        <v/>
      </c>
      <c r="D538" s="35" t="str">
        <f t="shared" si="17"/>
        <v/>
      </c>
      <c r="E538" s="35" t="str">
        <f t="shared" si="18"/>
        <v/>
      </c>
      <c r="F538" s="35" t="str">
        <f t="shared" si="19"/>
        <v/>
      </c>
      <c r="G538" s="35" t="str">
        <f t="shared" si="20"/>
        <v/>
      </c>
      <c r="H538" s="25"/>
      <c r="I538" s="47" t="str">
        <f t="shared" si="21"/>
        <v/>
      </c>
      <c r="J538" s="48"/>
      <c r="K538" s="21" t="str">
        <f t="shared" si="13"/>
        <v/>
      </c>
      <c r="L538" s="21" t="str">
        <f t="shared" si="3"/>
        <v/>
      </c>
      <c r="M538" s="21" t="str">
        <f t="array" ref="M538">IF(H538="","",SUMif(year(N$2:BO$2),M$2,N538:BO538))</f>
        <v/>
      </c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</row>
    <row r="539">
      <c r="A539" s="16" t="str">
        <f t="shared" si="14"/>
        <v/>
      </c>
      <c r="B539" s="16" t="str">
        <f t="shared" si="15"/>
        <v/>
      </c>
      <c r="C539" s="35" t="str">
        <f t="shared" si="16"/>
        <v/>
      </c>
      <c r="D539" s="35" t="str">
        <f t="shared" si="17"/>
        <v/>
      </c>
      <c r="E539" s="35" t="str">
        <f t="shared" si="18"/>
        <v/>
      </c>
      <c r="F539" s="35" t="str">
        <f t="shared" si="19"/>
        <v/>
      </c>
      <c r="G539" s="35" t="str">
        <f t="shared" si="20"/>
        <v/>
      </c>
      <c r="H539" s="25"/>
      <c r="I539" s="47" t="str">
        <f t="shared" si="21"/>
        <v/>
      </c>
      <c r="J539" s="48"/>
      <c r="K539" s="21" t="str">
        <f t="shared" si="13"/>
        <v/>
      </c>
      <c r="L539" s="21" t="str">
        <f t="shared" si="3"/>
        <v/>
      </c>
      <c r="M539" s="21" t="str">
        <f t="array" ref="M539">IF(H539="","",SUMif(year(N$2:BO$2),M$2,N539:BO539))</f>
        <v/>
      </c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</row>
    <row r="540">
      <c r="A540" s="16" t="str">
        <f t="shared" si="14"/>
        <v/>
      </c>
      <c r="B540" s="16" t="str">
        <f t="shared" si="15"/>
        <v/>
      </c>
      <c r="C540" s="35" t="str">
        <f t="shared" si="16"/>
        <v/>
      </c>
      <c r="D540" s="35" t="str">
        <f t="shared" si="17"/>
        <v/>
      </c>
      <c r="E540" s="35" t="str">
        <f t="shared" si="18"/>
        <v/>
      </c>
      <c r="F540" s="35" t="str">
        <f t="shared" si="19"/>
        <v/>
      </c>
      <c r="G540" s="35" t="str">
        <f t="shared" si="20"/>
        <v/>
      </c>
      <c r="H540" s="25"/>
      <c r="I540" s="47" t="str">
        <f t="shared" si="21"/>
        <v/>
      </c>
      <c r="J540" s="48"/>
      <c r="K540" s="21" t="str">
        <f t="shared" si="13"/>
        <v/>
      </c>
      <c r="L540" s="21" t="str">
        <f t="shared" si="3"/>
        <v/>
      </c>
      <c r="M540" s="21" t="str">
        <f t="array" ref="M540">IF(H540="","",SUMif(year(N$2:BO$2),M$2,N540:BO540))</f>
        <v/>
      </c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</row>
    <row r="541">
      <c r="A541" s="16" t="str">
        <f t="shared" si="14"/>
        <v/>
      </c>
      <c r="B541" s="16" t="str">
        <f t="shared" si="15"/>
        <v/>
      </c>
      <c r="C541" s="35" t="str">
        <f t="shared" si="16"/>
        <v/>
      </c>
      <c r="D541" s="35" t="str">
        <f t="shared" si="17"/>
        <v/>
      </c>
      <c r="E541" s="35" t="str">
        <f t="shared" si="18"/>
        <v/>
      </c>
      <c r="F541" s="35" t="str">
        <f t="shared" si="19"/>
        <v/>
      </c>
      <c r="G541" s="35" t="str">
        <f t="shared" si="20"/>
        <v/>
      </c>
      <c r="H541" s="25"/>
      <c r="I541" s="47" t="str">
        <f t="shared" si="21"/>
        <v/>
      </c>
      <c r="J541" s="48"/>
      <c r="K541" s="21" t="str">
        <f t="shared" si="13"/>
        <v/>
      </c>
      <c r="L541" s="21" t="str">
        <f t="shared" si="3"/>
        <v/>
      </c>
      <c r="M541" s="21" t="str">
        <f t="array" ref="M541">IF(H541="","",SUMif(year(N$2:BO$2),M$2,N541:BO541))</f>
        <v/>
      </c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</row>
    <row r="542">
      <c r="A542" s="16" t="str">
        <f t="shared" si="14"/>
        <v/>
      </c>
      <c r="B542" s="16" t="str">
        <f t="shared" si="15"/>
        <v/>
      </c>
      <c r="C542" s="35" t="str">
        <f t="shared" si="16"/>
        <v/>
      </c>
      <c r="D542" s="35" t="str">
        <f t="shared" si="17"/>
        <v/>
      </c>
      <c r="E542" s="35" t="str">
        <f t="shared" si="18"/>
        <v/>
      </c>
      <c r="F542" s="35" t="str">
        <f t="shared" si="19"/>
        <v/>
      </c>
      <c r="G542" s="35" t="str">
        <f t="shared" si="20"/>
        <v/>
      </c>
      <c r="H542" s="25"/>
      <c r="I542" s="47" t="str">
        <f t="shared" si="21"/>
        <v/>
      </c>
      <c r="J542" s="48"/>
      <c r="K542" s="21" t="str">
        <f t="shared" si="13"/>
        <v/>
      </c>
      <c r="L542" s="21" t="str">
        <f t="shared" si="3"/>
        <v/>
      </c>
      <c r="M542" s="21" t="str">
        <f t="array" ref="M542">IF(H542="","",SUMif(year(N$2:BO$2),M$2,N542:BO542))</f>
        <v/>
      </c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</row>
    <row r="543">
      <c r="A543" s="16" t="str">
        <f t="shared" si="14"/>
        <v/>
      </c>
      <c r="B543" s="16" t="str">
        <f t="shared" si="15"/>
        <v/>
      </c>
      <c r="C543" s="35" t="str">
        <f t="shared" si="16"/>
        <v/>
      </c>
      <c r="D543" s="35" t="str">
        <f t="shared" si="17"/>
        <v/>
      </c>
      <c r="E543" s="35" t="str">
        <f t="shared" si="18"/>
        <v/>
      </c>
      <c r="F543" s="35" t="str">
        <f t="shared" si="19"/>
        <v/>
      </c>
      <c r="G543" s="35" t="str">
        <f t="shared" si="20"/>
        <v/>
      </c>
      <c r="H543" s="25"/>
      <c r="I543" s="47" t="str">
        <f t="shared" si="21"/>
        <v/>
      </c>
      <c r="J543" s="48"/>
      <c r="K543" s="21" t="str">
        <f t="shared" si="13"/>
        <v/>
      </c>
      <c r="L543" s="21" t="str">
        <f t="shared" si="3"/>
        <v/>
      </c>
      <c r="M543" s="21" t="str">
        <f t="array" ref="M543">IF(H543="","",SUMif(year(N$2:BO$2),M$2,N543:BO543))</f>
        <v/>
      </c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</row>
    <row r="544">
      <c r="A544" s="16" t="str">
        <f t="shared" si="14"/>
        <v/>
      </c>
      <c r="B544" s="16" t="str">
        <f t="shared" si="15"/>
        <v/>
      </c>
      <c r="C544" s="35" t="str">
        <f t="shared" si="16"/>
        <v/>
      </c>
      <c r="D544" s="35" t="str">
        <f t="shared" si="17"/>
        <v/>
      </c>
      <c r="E544" s="35" t="str">
        <f t="shared" si="18"/>
        <v/>
      </c>
      <c r="F544" s="35" t="str">
        <f t="shared" si="19"/>
        <v/>
      </c>
      <c r="G544" s="35" t="str">
        <f t="shared" si="20"/>
        <v/>
      </c>
      <c r="H544" s="25"/>
      <c r="I544" s="47" t="str">
        <f t="shared" si="21"/>
        <v/>
      </c>
      <c r="J544" s="48"/>
      <c r="K544" s="21" t="str">
        <f t="shared" si="13"/>
        <v/>
      </c>
      <c r="L544" s="21" t="str">
        <f t="shared" si="3"/>
        <v/>
      </c>
      <c r="M544" s="21" t="str">
        <f t="array" ref="M544">IF(H544="","",SUMif(year(N$2:BO$2),M$2,N544:BO544))</f>
        <v/>
      </c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</row>
    <row r="545">
      <c r="A545" s="16" t="str">
        <f t="shared" si="14"/>
        <v/>
      </c>
      <c r="B545" s="16" t="str">
        <f t="shared" si="15"/>
        <v/>
      </c>
      <c r="C545" s="35" t="str">
        <f t="shared" si="16"/>
        <v/>
      </c>
      <c r="D545" s="35" t="str">
        <f t="shared" si="17"/>
        <v/>
      </c>
      <c r="E545" s="35" t="str">
        <f t="shared" si="18"/>
        <v/>
      </c>
      <c r="F545" s="35" t="str">
        <f t="shared" si="19"/>
        <v/>
      </c>
      <c r="G545" s="35" t="str">
        <f t="shared" si="20"/>
        <v/>
      </c>
      <c r="H545" s="25"/>
      <c r="I545" s="47" t="str">
        <f t="shared" si="21"/>
        <v/>
      </c>
      <c r="J545" s="48"/>
      <c r="K545" s="21" t="str">
        <f t="shared" si="13"/>
        <v/>
      </c>
      <c r="L545" s="21" t="str">
        <f t="shared" si="3"/>
        <v/>
      </c>
      <c r="M545" s="21" t="str">
        <f t="array" ref="M545">IF(H545="","",SUMif(year(N$2:BO$2),M$2,N545:BO545))</f>
        <v/>
      </c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</row>
    <row r="546">
      <c r="A546" s="16" t="str">
        <f t="shared" si="14"/>
        <v/>
      </c>
      <c r="B546" s="16" t="str">
        <f t="shared" si="15"/>
        <v/>
      </c>
      <c r="C546" s="35" t="str">
        <f t="shared" si="16"/>
        <v/>
      </c>
      <c r="D546" s="35" t="str">
        <f t="shared" si="17"/>
        <v/>
      </c>
      <c r="E546" s="35" t="str">
        <f t="shared" si="18"/>
        <v/>
      </c>
      <c r="F546" s="35" t="str">
        <f t="shared" si="19"/>
        <v/>
      </c>
      <c r="G546" s="35" t="str">
        <f t="shared" si="20"/>
        <v/>
      </c>
      <c r="H546" s="25"/>
      <c r="I546" s="47" t="str">
        <f t="shared" si="21"/>
        <v/>
      </c>
      <c r="J546" s="48"/>
      <c r="K546" s="21" t="str">
        <f t="shared" si="13"/>
        <v/>
      </c>
      <c r="L546" s="21" t="str">
        <f t="shared" si="3"/>
        <v/>
      </c>
      <c r="M546" s="21" t="str">
        <f t="array" ref="M546">IF(H546="","",SUMif(year(N$2:BO$2),M$2,N546:BO546))</f>
        <v/>
      </c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</row>
    <row r="547">
      <c r="A547" s="16" t="str">
        <f t="shared" si="14"/>
        <v/>
      </c>
      <c r="B547" s="16" t="str">
        <f t="shared" si="15"/>
        <v/>
      </c>
      <c r="C547" s="35" t="str">
        <f t="shared" si="16"/>
        <v/>
      </c>
      <c r="D547" s="35" t="str">
        <f t="shared" si="17"/>
        <v/>
      </c>
      <c r="E547" s="35" t="str">
        <f t="shared" si="18"/>
        <v/>
      </c>
      <c r="F547" s="35" t="str">
        <f t="shared" si="19"/>
        <v/>
      </c>
      <c r="G547" s="35" t="str">
        <f t="shared" si="20"/>
        <v/>
      </c>
      <c r="H547" s="25"/>
      <c r="I547" s="47" t="str">
        <f t="shared" si="21"/>
        <v/>
      </c>
      <c r="J547" s="48"/>
      <c r="K547" s="21" t="str">
        <f t="shared" si="13"/>
        <v/>
      </c>
      <c r="L547" s="21" t="str">
        <f t="shared" si="3"/>
        <v/>
      </c>
      <c r="M547" s="21" t="str">
        <f t="array" ref="M547">IF(H547="","",SUMif(year(N$2:BO$2),M$2,N547:BO547))</f>
        <v/>
      </c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</row>
    <row r="548">
      <c r="A548" s="16" t="str">
        <f t="shared" si="14"/>
        <v/>
      </c>
      <c r="B548" s="16" t="str">
        <f t="shared" si="15"/>
        <v/>
      </c>
      <c r="C548" s="35" t="str">
        <f t="shared" si="16"/>
        <v/>
      </c>
      <c r="D548" s="35" t="str">
        <f t="shared" si="17"/>
        <v/>
      </c>
      <c r="E548" s="35" t="str">
        <f t="shared" si="18"/>
        <v/>
      </c>
      <c r="F548" s="35" t="str">
        <f t="shared" si="19"/>
        <v/>
      </c>
      <c r="G548" s="35" t="str">
        <f t="shared" si="20"/>
        <v/>
      </c>
      <c r="H548" s="25"/>
      <c r="I548" s="47" t="str">
        <f t="shared" si="21"/>
        <v/>
      </c>
      <c r="J548" s="48"/>
      <c r="K548" s="21" t="str">
        <f t="shared" si="13"/>
        <v/>
      </c>
      <c r="L548" s="21" t="str">
        <f t="shared" si="3"/>
        <v/>
      </c>
      <c r="M548" s="21" t="str">
        <f t="array" ref="M548">IF(H548="","",SUMif(year(N$2:BO$2),M$2,N548:BO548))</f>
        <v/>
      </c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</row>
    <row r="549">
      <c r="A549" s="16" t="str">
        <f t="shared" si="14"/>
        <v/>
      </c>
      <c r="B549" s="16" t="str">
        <f t="shared" si="15"/>
        <v/>
      </c>
      <c r="C549" s="35" t="str">
        <f t="shared" si="16"/>
        <v/>
      </c>
      <c r="D549" s="35" t="str">
        <f t="shared" si="17"/>
        <v/>
      </c>
      <c r="E549" s="35" t="str">
        <f t="shared" si="18"/>
        <v/>
      </c>
      <c r="F549" s="35" t="str">
        <f t="shared" si="19"/>
        <v/>
      </c>
      <c r="G549" s="35" t="str">
        <f t="shared" si="20"/>
        <v/>
      </c>
      <c r="H549" s="25"/>
      <c r="I549" s="47" t="str">
        <f t="shared" si="21"/>
        <v/>
      </c>
      <c r="J549" s="48"/>
      <c r="K549" s="21" t="str">
        <f t="shared" si="13"/>
        <v/>
      </c>
      <c r="L549" s="21" t="str">
        <f t="shared" si="3"/>
        <v/>
      </c>
      <c r="M549" s="21" t="str">
        <f t="array" ref="M549">IF(H549="","",SUMif(year(N$2:BO$2),M$2,N549:BO549))</f>
        <v/>
      </c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</row>
    <row r="550">
      <c r="A550" s="16" t="str">
        <f t="shared" si="14"/>
        <v/>
      </c>
      <c r="B550" s="16" t="str">
        <f t="shared" si="15"/>
        <v/>
      </c>
      <c r="C550" s="35" t="str">
        <f t="shared" si="16"/>
        <v/>
      </c>
      <c r="D550" s="35" t="str">
        <f t="shared" si="17"/>
        <v/>
      </c>
      <c r="E550" s="35" t="str">
        <f t="shared" si="18"/>
        <v/>
      </c>
      <c r="F550" s="35" t="str">
        <f t="shared" si="19"/>
        <v/>
      </c>
      <c r="G550" s="35" t="str">
        <f t="shared" si="20"/>
        <v/>
      </c>
      <c r="H550" s="25"/>
      <c r="I550" s="47" t="str">
        <f t="shared" si="21"/>
        <v/>
      </c>
      <c r="J550" s="48"/>
      <c r="K550" s="21" t="str">
        <f t="shared" si="13"/>
        <v/>
      </c>
      <c r="L550" s="21" t="str">
        <f t="shared" si="3"/>
        <v/>
      </c>
      <c r="M550" s="21" t="str">
        <f t="array" ref="M550">IF(H550="","",SUMif(year(N$2:BO$2),M$2,N550:BO550))</f>
        <v/>
      </c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</row>
    <row r="551">
      <c r="A551" s="16" t="str">
        <f t="shared" si="14"/>
        <v/>
      </c>
      <c r="B551" s="16" t="str">
        <f t="shared" si="15"/>
        <v/>
      </c>
      <c r="C551" s="35" t="str">
        <f t="shared" si="16"/>
        <v/>
      </c>
      <c r="D551" s="35" t="str">
        <f t="shared" si="17"/>
        <v/>
      </c>
      <c r="E551" s="35" t="str">
        <f t="shared" si="18"/>
        <v/>
      </c>
      <c r="F551" s="35" t="str">
        <f t="shared" si="19"/>
        <v/>
      </c>
      <c r="G551" s="35" t="str">
        <f t="shared" si="20"/>
        <v/>
      </c>
      <c r="H551" s="25"/>
      <c r="I551" s="47" t="str">
        <f t="shared" si="21"/>
        <v/>
      </c>
      <c r="J551" s="48"/>
      <c r="K551" s="21" t="str">
        <f t="shared" si="13"/>
        <v/>
      </c>
      <c r="L551" s="21" t="str">
        <f t="shared" si="3"/>
        <v/>
      </c>
      <c r="M551" s="21" t="str">
        <f t="array" ref="M551">IF(H551="","",SUMif(year(N$2:BO$2),M$2,N551:BO551))</f>
        <v/>
      </c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</row>
    <row r="552">
      <c r="A552" s="16" t="str">
        <f t="shared" si="14"/>
        <v/>
      </c>
      <c r="B552" s="16" t="str">
        <f t="shared" si="15"/>
        <v/>
      </c>
      <c r="C552" s="35" t="str">
        <f t="shared" si="16"/>
        <v/>
      </c>
      <c r="D552" s="35" t="str">
        <f t="shared" si="17"/>
        <v/>
      </c>
      <c r="E552" s="35" t="str">
        <f t="shared" si="18"/>
        <v/>
      </c>
      <c r="F552" s="35" t="str">
        <f t="shared" si="19"/>
        <v/>
      </c>
      <c r="G552" s="35" t="str">
        <f t="shared" si="20"/>
        <v/>
      </c>
      <c r="H552" s="25"/>
      <c r="I552" s="47" t="str">
        <f t="shared" si="21"/>
        <v/>
      </c>
      <c r="J552" s="48"/>
      <c r="K552" s="21" t="str">
        <f t="shared" si="13"/>
        <v/>
      </c>
      <c r="L552" s="21" t="str">
        <f t="shared" si="3"/>
        <v/>
      </c>
      <c r="M552" s="21" t="str">
        <f t="array" ref="M552">IF(H552="","",SUMif(year(N$2:BO$2),M$2,N552:BO552))</f>
        <v/>
      </c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</row>
    <row r="553">
      <c r="A553" s="16" t="str">
        <f t="shared" si="14"/>
        <v/>
      </c>
      <c r="B553" s="16" t="str">
        <f t="shared" si="15"/>
        <v/>
      </c>
      <c r="C553" s="35" t="str">
        <f t="shared" si="16"/>
        <v/>
      </c>
      <c r="D553" s="35" t="str">
        <f t="shared" si="17"/>
        <v/>
      </c>
      <c r="E553" s="35" t="str">
        <f t="shared" si="18"/>
        <v/>
      </c>
      <c r="F553" s="35" t="str">
        <f t="shared" si="19"/>
        <v/>
      </c>
      <c r="G553" s="35" t="str">
        <f t="shared" si="20"/>
        <v/>
      </c>
      <c r="H553" s="25"/>
      <c r="I553" s="47" t="str">
        <f t="shared" si="21"/>
        <v/>
      </c>
      <c r="J553" s="48"/>
      <c r="K553" s="21" t="str">
        <f t="shared" si="13"/>
        <v/>
      </c>
      <c r="L553" s="21" t="str">
        <f t="shared" si="3"/>
        <v/>
      </c>
      <c r="M553" s="21" t="str">
        <f t="array" ref="M553">IF(H553="","",SUMif(year(N$2:BO$2),M$2,N553:BO553))</f>
        <v/>
      </c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</row>
    <row r="554">
      <c r="A554" s="16" t="str">
        <f t="shared" si="14"/>
        <v/>
      </c>
      <c r="B554" s="16" t="str">
        <f t="shared" si="15"/>
        <v/>
      </c>
      <c r="C554" s="35" t="str">
        <f t="shared" si="16"/>
        <v/>
      </c>
      <c r="D554" s="35" t="str">
        <f t="shared" si="17"/>
        <v/>
      </c>
      <c r="E554" s="35" t="str">
        <f t="shared" si="18"/>
        <v/>
      </c>
      <c r="F554" s="35" t="str">
        <f t="shared" si="19"/>
        <v/>
      </c>
      <c r="G554" s="35" t="str">
        <f t="shared" si="20"/>
        <v/>
      </c>
      <c r="H554" s="25"/>
      <c r="I554" s="47" t="str">
        <f t="shared" si="21"/>
        <v/>
      </c>
      <c r="J554" s="48"/>
      <c r="K554" s="21" t="str">
        <f t="shared" si="13"/>
        <v/>
      </c>
      <c r="L554" s="21" t="str">
        <f t="shared" si="3"/>
        <v/>
      </c>
      <c r="M554" s="21" t="str">
        <f t="array" ref="M554">IF(H554="","",SUMif(year(N$2:BO$2),M$2,N554:BO554))</f>
        <v/>
      </c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</row>
    <row r="555">
      <c r="A555" s="16" t="str">
        <f t="shared" si="14"/>
        <v/>
      </c>
      <c r="B555" s="16" t="str">
        <f t="shared" si="15"/>
        <v/>
      </c>
      <c r="C555" s="35" t="str">
        <f t="shared" si="16"/>
        <v/>
      </c>
      <c r="D555" s="35" t="str">
        <f t="shared" si="17"/>
        <v/>
      </c>
      <c r="E555" s="35" t="str">
        <f t="shared" si="18"/>
        <v/>
      </c>
      <c r="F555" s="35" t="str">
        <f t="shared" si="19"/>
        <v/>
      </c>
      <c r="G555" s="35" t="str">
        <f t="shared" si="20"/>
        <v/>
      </c>
      <c r="H555" s="25"/>
      <c r="I555" s="47" t="str">
        <f t="shared" si="21"/>
        <v/>
      </c>
      <c r="J555" s="48"/>
      <c r="K555" s="21" t="str">
        <f t="shared" si="13"/>
        <v/>
      </c>
      <c r="L555" s="21" t="str">
        <f t="shared" si="3"/>
        <v/>
      </c>
      <c r="M555" s="21" t="str">
        <f t="array" ref="M555">IF(H555="","",SUMif(year(N$2:BO$2),M$2,N555:BO555))</f>
        <v/>
      </c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</row>
    <row r="556">
      <c r="A556" s="16" t="str">
        <f t="shared" si="14"/>
        <v/>
      </c>
      <c r="B556" s="16" t="str">
        <f t="shared" si="15"/>
        <v/>
      </c>
      <c r="C556" s="35" t="str">
        <f t="shared" si="16"/>
        <v/>
      </c>
      <c r="D556" s="35" t="str">
        <f t="shared" si="17"/>
        <v/>
      </c>
      <c r="E556" s="35" t="str">
        <f t="shared" si="18"/>
        <v/>
      </c>
      <c r="F556" s="35" t="str">
        <f t="shared" si="19"/>
        <v/>
      </c>
      <c r="G556" s="35" t="str">
        <f t="shared" si="20"/>
        <v/>
      </c>
      <c r="H556" s="25"/>
      <c r="I556" s="47" t="str">
        <f t="shared" si="21"/>
        <v/>
      </c>
      <c r="J556" s="48"/>
      <c r="K556" s="21" t="str">
        <f t="shared" si="13"/>
        <v/>
      </c>
      <c r="L556" s="21" t="str">
        <f t="shared" si="3"/>
        <v/>
      </c>
      <c r="M556" s="21" t="str">
        <f t="array" ref="M556">IF(H556="","",SUMif(year(N$2:BO$2),M$2,N556:BO556))</f>
        <v/>
      </c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</row>
    <row r="557">
      <c r="A557" s="16" t="str">
        <f t="shared" si="14"/>
        <v/>
      </c>
      <c r="B557" s="16" t="str">
        <f t="shared" si="15"/>
        <v/>
      </c>
      <c r="C557" s="35" t="str">
        <f t="shared" si="16"/>
        <v/>
      </c>
      <c r="D557" s="35" t="str">
        <f t="shared" si="17"/>
        <v/>
      </c>
      <c r="E557" s="35" t="str">
        <f t="shared" si="18"/>
        <v/>
      </c>
      <c r="F557" s="35" t="str">
        <f t="shared" si="19"/>
        <v/>
      </c>
      <c r="G557" s="35" t="str">
        <f t="shared" si="20"/>
        <v/>
      </c>
      <c r="H557" s="25"/>
      <c r="I557" s="47" t="str">
        <f t="shared" si="21"/>
        <v/>
      </c>
      <c r="J557" s="48"/>
      <c r="K557" s="21" t="str">
        <f t="shared" si="13"/>
        <v/>
      </c>
      <c r="L557" s="21" t="str">
        <f t="shared" si="3"/>
        <v/>
      </c>
      <c r="M557" s="21" t="str">
        <f t="array" ref="M557">IF(H557="","",SUMif(year(N$2:BO$2),M$2,N557:BO557))</f>
        <v/>
      </c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</row>
    <row r="558">
      <c r="A558" s="16" t="str">
        <f t="shared" si="14"/>
        <v/>
      </c>
      <c r="B558" s="16" t="str">
        <f t="shared" si="15"/>
        <v/>
      </c>
      <c r="C558" s="35" t="str">
        <f t="shared" si="16"/>
        <v/>
      </c>
      <c r="D558" s="35" t="str">
        <f t="shared" si="17"/>
        <v/>
      </c>
      <c r="E558" s="35" t="str">
        <f t="shared" si="18"/>
        <v/>
      </c>
      <c r="F558" s="35" t="str">
        <f t="shared" si="19"/>
        <v/>
      </c>
      <c r="G558" s="35" t="str">
        <f t="shared" si="20"/>
        <v/>
      </c>
      <c r="H558" s="25"/>
      <c r="I558" s="47" t="str">
        <f t="shared" si="21"/>
        <v/>
      </c>
      <c r="J558" s="48"/>
      <c r="K558" s="21" t="str">
        <f t="shared" si="13"/>
        <v/>
      </c>
      <c r="L558" s="21" t="str">
        <f t="shared" si="3"/>
        <v/>
      </c>
      <c r="M558" s="21" t="str">
        <f t="array" ref="M558">IF(H558="","",SUMif(year(N$2:BO$2),M$2,N558:BO558))</f>
        <v/>
      </c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</row>
    <row r="559">
      <c r="A559" s="16" t="str">
        <f t="shared" si="14"/>
        <v/>
      </c>
      <c r="B559" s="16" t="str">
        <f t="shared" si="15"/>
        <v/>
      </c>
      <c r="C559" s="35" t="str">
        <f t="shared" si="16"/>
        <v/>
      </c>
      <c r="D559" s="35" t="str">
        <f t="shared" si="17"/>
        <v/>
      </c>
      <c r="E559" s="35" t="str">
        <f t="shared" si="18"/>
        <v/>
      </c>
      <c r="F559" s="35" t="str">
        <f t="shared" si="19"/>
        <v/>
      </c>
      <c r="G559" s="35" t="str">
        <f t="shared" si="20"/>
        <v/>
      </c>
      <c r="H559" s="25"/>
      <c r="I559" s="47" t="str">
        <f t="shared" si="21"/>
        <v/>
      </c>
      <c r="J559" s="48"/>
      <c r="K559" s="21" t="str">
        <f t="shared" si="13"/>
        <v/>
      </c>
      <c r="L559" s="21" t="str">
        <f t="shared" si="3"/>
        <v/>
      </c>
      <c r="M559" s="21" t="str">
        <f t="array" ref="M559">IF(H559="","",SUMif(year(N$2:BO$2),M$2,N559:BO559))</f>
        <v/>
      </c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</row>
    <row r="560">
      <c r="A560" s="16" t="str">
        <f t="shared" si="14"/>
        <v/>
      </c>
      <c r="B560" s="16" t="str">
        <f t="shared" si="15"/>
        <v/>
      </c>
      <c r="C560" s="35" t="str">
        <f t="shared" si="16"/>
        <v/>
      </c>
      <c r="D560" s="35" t="str">
        <f t="shared" si="17"/>
        <v/>
      </c>
      <c r="E560" s="35" t="str">
        <f t="shared" si="18"/>
        <v/>
      </c>
      <c r="F560" s="35" t="str">
        <f t="shared" si="19"/>
        <v/>
      </c>
      <c r="G560" s="35" t="str">
        <f t="shared" si="20"/>
        <v/>
      </c>
      <c r="H560" s="25"/>
      <c r="I560" s="47" t="str">
        <f t="shared" si="21"/>
        <v/>
      </c>
      <c r="J560" s="48"/>
      <c r="K560" s="21" t="str">
        <f t="shared" si="13"/>
        <v/>
      </c>
      <c r="L560" s="21" t="str">
        <f t="shared" si="3"/>
        <v/>
      </c>
      <c r="M560" s="21" t="str">
        <f t="array" ref="M560">IF(H560="","",SUMif(year(N$2:BO$2),M$2,N560:BO560))</f>
        <v/>
      </c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</row>
    <row r="561">
      <c r="A561" s="16" t="str">
        <f t="shared" si="14"/>
        <v/>
      </c>
      <c r="B561" s="16" t="str">
        <f t="shared" si="15"/>
        <v/>
      </c>
      <c r="C561" s="35" t="str">
        <f t="shared" si="16"/>
        <v/>
      </c>
      <c r="D561" s="35" t="str">
        <f t="shared" si="17"/>
        <v/>
      </c>
      <c r="E561" s="35" t="str">
        <f t="shared" si="18"/>
        <v/>
      </c>
      <c r="F561" s="35" t="str">
        <f t="shared" si="19"/>
        <v/>
      </c>
      <c r="G561" s="35" t="str">
        <f t="shared" si="20"/>
        <v/>
      </c>
      <c r="H561" s="25"/>
      <c r="I561" s="47" t="str">
        <f t="shared" si="21"/>
        <v/>
      </c>
      <c r="J561" s="48"/>
      <c r="K561" s="21" t="str">
        <f t="shared" si="13"/>
        <v/>
      </c>
      <c r="L561" s="21" t="str">
        <f t="shared" si="3"/>
        <v/>
      </c>
      <c r="M561" s="21" t="str">
        <f t="array" ref="M561">IF(H561="","",SUMif(year(N$2:BO$2),M$2,N561:BO561))</f>
        <v/>
      </c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</row>
    <row r="562">
      <c r="A562" s="16" t="str">
        <f t="shared" si="14"/>
        <v/>
      </c>
      <c r="B562" s="16" t="str">
        <f t="shared" si="15"/>
        <v/>
      </c>
      <c r="C562" s="35" t="str">
        <f t="shared" si="16"/>
        <v/>
      </c>
      <c r="D562" s="35" t="str">
        <f t="shared" si="17"/>
        <v/>
      </c>
      <c r="E562" s="35" t="str">
        <f t="shared" si="18"/>
        <v/>
      </c>
      <c r="F562" s="35" t="str">
        <f t="shared" si="19"/>
        <v/>
      </c>
      <c r="G562" s="35" t="str">
        <f t="shared" si="20"/>
        <v/>
      </c>
      <c r="H562" s="25"/>
      <c r="I562" s="47" t="str">
        <f t="shared" si="21"/>
        <v/>
      </c>
      <c r="J562" s="48"/>
      <c r="K562" s="21" t="str">
        <f t="shared" si="13"/>
        <v/>
      </c>
      <c r="L562" s="21" t="str">
        <f t="shared" si="3"/>
        <v/>
      </c>
      <c r="M562" s="21" t="str">
        <f t="array" ref="M562">IF(H562="","",SUMif(year(N$2:BO$2),M$2,N562:BO562))</f>
        <v/>
      </c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</row>
    <row r="563">
      <c r="A563" s="16" t="str">
        <f t="shared" si="14"/>
        <v/>
      </c>
      <c r="B563" s="16" t="str">
        <f t="shared" si="15"/>
        <v/>
      </c>
      <c r="C563" s="35" t="str">
        <f t="shared" si="16"/>
        <v/>
      </c>
      <c r="D563" s="35" t="str">
        <f t="shared" si="17"/>
        <v/>
      </c>
      <c r="E563" s="35" t="str">
        <f t="shared" si="18"/>
        <v/>
      </c>
      <c r="F563" s="35" t="str">
        <f t="shared" si="19"/>
        <v/>
      </c>
      <c r="G563" s="35" t="str">
        <f t="shared" si="20"/>
        <v/>
      </c>
      <c r="H563" s="25"/>
      <c r="I563" s="47" t="str">
        <f t="shared" si="21"/>
        <v/>
      </c>
      <c r="J563" s="48"/>
      <c r="K563" s="21" t="str">
        <f t="shared" si="13"/>
        <v/>
      </c>
      <c r="L563" s="21" t="str">
        <f t="shared" si="3"/>
        <v/>
      </c>
      <c r="M563" s="21" t="str">
        <f t="array" ref="M563">IF(H563="","",SUMif(year(N$2:BO$2),M$2,N563:BO563))</f>
        <v/>
      </c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</row>
    <row r="564">
      <c r="A564" s="16" t="str">
        <f t="shared" si="14"/>
        <v/>
      </c>
      <c r="B564" s="16" t="str">
        <f t="shared" si="15"/>
        <v/>
      </c>
      <c r="C564" s="35" t="str">
        <f t="shared" si="16"/>
        <v/>
      </c>
      <c r="D564" s="35" t="str">
        <f t="shared" si="17"/>
        <v/>
      </c>
      <c r="E564" s="35" t="str">
        <f t="shared" si="18"/>
        <v/>
      </c>
      <c r="F564" s="35" t="str">
        <f t="shared" si="19"/>
        <v/>
      </c>
      <c r="G564" s="35" t="str">
        <f t="shared" si="20"/>
        <v/>
      </c>
      <c r="H564" s="25"/>
      <c r="I564" s="47" t="str">
        <f t="shared" si="21"/>
        <v/>
      </c>
      <c r="J564" s="48"/>
      <c r="K564" s="21" t="str">
        <f t="shared" si="13"/>
        <v/>
      </c>
      <c r="L564" s="21" t="str">
        <f t="shared" si="3"/>
        <v/>
      </c>
      <c r="M564" s="21" t="str">
        <f t="array" ref="M564">IF(H564="","",SUMif(year(N$2:BO$2),M$2,N564:BO564))</f>
        <v/>
      </c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</row>
    <row r="565">
      <c r="A565" s="16" t="str">
        <f t="shared" si="14"/>
        <v/>
      </c>
      <c r="B565" s="16" t="str">
        <f t="shared" si="15"/>
        <v/>
      </c>
      <c r="C565" s="35" t="str">
        <f t="shared" si="16"/>
        <v/>
      </c>
      <c r="D565" s="35" t="str">
        <f t="shared" si="17"/>
        <v/>
      </c>
      <c r="E565" s="35" t="str">
        <f t="shared" si="18"/>
        <v/>
      </c>
      <c r="F565" s="35" t="str">
        <f t="shared" si="19"/>
        <v/>
      </c>
      <c r="G565" s="35" t="str">
        <f t="shared" si="20"/>
        <v/>
      </c>
      <c r="H565" s="25"/>
      <c r="I565" s="47" t="str">
        <f t="shared" si="21"/>
        <v/>
      </c>
      <c r="J565" s="48"/>
      <c r="K565" s="21" t="str">
        <f t="shared" si="13"/>
        <v/>
      </c>
      <c r="L565" s="21" t="str">
        <f t="shared" si="3"/>
        <v/>
      </c>
      <c r="M565" s="21" t="str">
        <f t="array" ref="M565">IF(H565="","",SUMif(year(N$2:BO$2),M$2,N565:BO565))</f>
        <v/>
      </c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</row>
    <row r="566">
      <c r="A566" s="16" t="str">
        <f t="shared" si="14"/>
        <v/>
      </c>
      <c r="B566" s="16" t="str">
        <f t="shared" si="15"/>
        <v/>
      </c>
      <c r="C566" s="35" t="str">
        <f t="shared" si="16"/>
        <v/>
      </c>
      <c r="D566" s="35" t="str">
        <f t="shared" si="17"/>
        <v/>
      </c>
      <c r="E566" s="35" t="str">
        <f t="shared" si="18"/>
        <v/>
      </c>
      <c r="F566" s="35" t="str">
        <f t="shared" si="19"/>
        <v/>
      </c>
      <c r="G566" s="35" t="str">
        <f t="shared" si="20"/>
        <v/>
      </c>
      <c r="H566" s="25"/>
      <c r="I566" s="47" t="str">
        <f t="shared" si="21"/>
        <v/>
      </c>
      <c r="J566" s="48"/>
      <c r="K566" s="21" t="str">
        <f t="shared" si="13"/>
        <v/>
      </c>
      <c r="L566" s="21" t="str">
        <f t="shared" si="3"/>
        <v/>
      </c>
      <c r="M566" s="21" t="str">
        <f t="array" ref="M566">IF(H566="","",SUMif(year(N$2:BO$2),M$2,N566:BO566))</f>
        <v/>
      </c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</row>
    <row r="567">
      <c r="A567" s="16" t="str">
        <f t="shared" si="14"/>
        <v/>
      </c>
      <c r="B567" s="16" t="str">
        <f t="shared" si="15"/>
        <v/>
      </c>
      <c r="C567" s="35" t="str">
        <f t="shared" si="16"/>
        <v/>
      </c>
      <c r="D567" s="35" t="str">
        <f t="shared" si="17"/>
        <v/>
      </c>
      <c r="E567" s="35" t="str">
        <f t="shared" si="18"/>
        <v/>
      </c>
      <c r="F567" s="35" t="str">
        <f t="shared" si="19"/>
        <v/>
      </c>
      <c r="G567" s="35" t="str">
        <f t="shared" si="20"/>
        <v/>
      </c>
      <c r="H567" s="25"/>
      <c r="I567" s="47" t="str">
        <f t="shared" si="21"/>
        <v/>
      </c>
      <c r="J567" s="48"/>
      <c r="K567" s="21" t="str">
        <f t="shared" si="13"/>
        <v/>
      </c>
      <c r="L567" s="21" t="str">
        <f t="shared" si="3"/>
        <v/>
      </c>
      <c r="M567" s="21" t="str">
        <f t="array" ref="M567">IF(H567="","",SUMif(year(N$2:BO$2),M$2,N567:BO567))</f>
        <v/>
      </c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</row>
    <row r="568">
      <c r="A568" s="16" t="str">
        <f t="shared" si="14"/>
        <v/>
      </c>
      <c r="B568" s="16" t="str">
        <f t="shared" si="15"/>
        <v/>
      </c>
      <c r="C568" s="35" t="str">
        <f t="shared" si="16"/>
        <v/>
      </c>
      <c r="D568" s="35" t="str">
        <f t="shared" si="17"/>
        <v/>
      </c>
      <c r="E568" s="35" t="str">
        <f t="shared" si="18"/>
        <v/>
      </c>
      <c r="F568" s="35" t="str">
        <f t="shared" si="19"/>
        <v/>
      </c>
      <c r="G568" s="35" t="str">
        <f t="shared" si="20"/>
        <v/>
      </c>
      <c r="H568" s="25"/>
      <c r="I568" s="47" t="str">
        <f t="shared" si="21"/>
        <v/>
      </c>
      <c r="J568" s="48"/>
      <c r="K568" s="21" t="str">
        <f t="shared" si="13"/>
        <v/>
      </c>
      <c r="L568" s="21" t="str">
        <f t="shared" si="3"/>
        <v/>
      </c>
      <c r="M568" s="21" t="str">
        <f t="array" ref="M568">IF(H568="","",SUMif(year(N$2:BO$2),M$2,N568:BO568))</f>
        <v/>
      </c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</row>
    <row r="569">
      <c r="A569" s="16" t="str">
        <f t="shared" si="14"/>
        <v/>
      </c>
      <c r="B569" s="16" t="str">
        <f t="shared" si="15"/>
        <v/>
      </c>
      <c r="C569" s="35" t="str">
        <f t="shared" si="16"/>
        <v/>
      </c>
      <c r="D569" s="35" t="str">
        <f t="shared" si="17"/>
        <v/>
      </c>
      <c r="E569" s="35" t="str">
        <f t="shared" si="18"/>
        <v/>
      </c>
      <c r="F569" s="35" t="str">
        <f t="shared" si="19"/>
        <v/>
      </c>
      <c r="G569" s="35" t="str">
        <f t="shared" si="20"/>
        <v/>
      </c>
      <c r="H569" s="25"/>
      <c r="I569" s="47" t="str">
        <f t="shared" si="21"/>
        <v/>
      </c>
      <c r="J569" s="48"/>
      <c r="K569" s="21" t="str">
        <f t="shared" si="13"/>
        <v/>
      </c>
      <c r="L569" s="21" t="str">
        <f t="shared" si="3"/>
        <v/>
      </c>
      <c r="M569" s="21" t="str">
        <f t="array" ref="M569">IF(H569="","",SUMif(year(N$2:BO$2),M$2,N569:BO569))</f>
        <v/>
      </c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</row>
    <row r="570">
      <c r="A570" s="16" t="str">
        <f t="shared" si="14"/>
        <v/>
      </c>
      <c r="B570" s="16" t="str">
        <f t="shared" si="15"/>
        <v/>
      </c>
      <c r="C570" s="35" t="str">
        <f t="shared" si="16"/>
        <v/>
      </c>
      <c r="D570" s="35" t="str">
        <f t="shared" si="17"/>
        <v/>
      </c>
      <c r="E570" s="35" t="str">
        <f t="shared" si="18"/>
        <v/>
      </c>
      <c r="F570" s="35" t="str">
        <f t="shared" si="19"/>
        <v/>
      </c>
      <c r="G570" s="35" t="str">
        <f t="shared" si="20"/>
        <v/>
      </c>
      <c r="H570" s="25"/>
      <c r="I570" s="47" t="str">
        <f t="shared" si="21"/>
        <v/>
      </c>
      <c r="J570" s="48"/>
      <c r="K570" s="21" t="str">
        <f t="shared" si="13"/>
        <v/>
      </c>
      <c r="L570" s="21" t="str">
        <f t="shared" si="3"/>
        <v/>
      </c>
      <c r="M570" s="21" t="str">
        <f t="array" ref="M570">IF(H570="","",SUMif(year(N$2:BO$2),M$2,N570:BO570))</f>
        <v/>
      </c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</row>
    <row r="571">
      <c r="A571" s="16" t="str">
        <f t="shared" si="14"/>
        <v/>
      </c>
      <c r="B571" s="16" t="str">
        <f t="shared" si="15"/>
        <v/>
      </c>
      <c r="C571" s="35" t="str">
        <f t="shared" si="16"/>
        <v/>
      </c>
      <c r="D571" s="35" t="str">
        <f t="shared" si="17"/>
        <v/>
      </c>
      <c r="E571" s="35" t="str">
        <f t="shared" si="18"/>
        <v/>
      </c>
      <c r="F571" s="35" t="str">
        <f t="shared" si="19"/>
        <v/>
      </c>
      <c r="G571" s="35" t="str">
        <f t="shared" si="20"/>
        <v/>
      </c>
      <c r="H571" s="25"/>
      <c r="I571" s="47" t="str">
        <f t="shared" si="21"/>
        <v/>
      </c>
      <c r="J571" s="48"/>
      <c r="K571" s="21" t="str">
        <f t="shared" si="13"/>
        <v/>
      </c>
      <c r="L571" s="21" t="str">
        <f t="shared" si="3"/>
        <v/>
      </c>
      <c r="M571" s="21" t="str">
        <f t="array" ref="M571">IF(H571="","",SUMif(year(N$2:BO$2),M$2,N571:BO571))</f>
        <v/>
      </c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</row>
    <row r="572">
      <c r="A572" s="16" t="str">
        <f t="shared" si="14"/>
        <v/>
      </c>
      <c r="B572" s="16" t="str">
        <f t="shared" si="15"/>
        <v/>
      </c>
      <c r="C572" s="35" t="str">
        <f t="shared" si="16"/>
        <v/>
      </c>
      <c r="D572" s="35" t="str">
        <f t="shared" si="17"/>
        <v/>
      </c>
      <c r="E572" s="35" t="str">
        <f t="shared" si="18"/>
        <v/>
      </c>
      <c r="F572" s="35" t="str">
        <f t="shared" si="19"/>
        <v/>
      </c>
      <c r="G572" s="35" t="str">
        <f t="shared" si="20"/>
        <v/>
      </c>
      <c r="H572" s="25"/>
      <c r="I572" s="47" t="str">
        <f t="shared" si="21"/>
        <v/>
      </c>
      <c r="J572" s="48"/>
      <c r="K572" s="21" t="str">
        <f t="shared" si="13"/>
        <v/>
      </c>
      <c r="L572" s="21" t="str">
        <f t="shared" si="3"/>
        <v/>
      </c>
      <c r="M572" s="21" t="str">
        <f t="array" ref="M572">IF(H572="","",SUMif(year(N$2:BO$2),M$2,N572:BO572))</f>
        <v/>
      </c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</row>
    <row r="573">
      <c r="A573" s="16" t="str">
        <f t="shared" si="14"/>
        <v/>
      </c>
      <c r="B573" s="16" t="str">
        <f t="shared" si="15"/>
        <v/>
      </c>
      <c r="C573" s="35" t="str">
        <f t="shared" si="16"/>
        <v/>
      </c>
      <c r="D573" s="35" t="str">
        <f t="shared" si="17"/>
        <v/>
      </c>
      <c r="E573" s="35" t="str">
        <f t="shared" si="18"/>
        <v/>
      </c>
      <c r="F573" s="35" t="str">
        <f t="shared" si="19"/>
        <v/>
      </c>
      <c r="G573" s="35" t="str">
        <f t="shared" si="20"/>
        <v/>
      </c>
      <c r="H573" s="25"/>
      <c r="I573" s="47" t="str">
        <f t="shared" si="21"/>
        <v/>
      </c>
      <c r="J573" s="48"/>
      <c r="K573" s="21" t="str">
        <f t="shared" si="13"/>
        <v/>
      </c>
      <c r="L573" s="21" t="str">
        <f t="shared" si="3"/>
        <v/>
      </c>
      <c r="M573" s="21" t="str">
        <f t="array" ref="M573">IF(H573="","",SUMif(year(N$2:BO$2),M$2,N573:BO573))</f>
        <v/>
      </c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</row>
    <row r="574">
      <c r="A574" s="16" t="str">
        <f t="shared" si="14"/>
        <v/>
      </c>
      <c r="B574" s="16" t="str">
        <f t="shared" si="15"/>
        <v/>
      </c>
      <c r="C574" s="35" t="str">
        <f t="shared" si="16"/>
        <v/>
      </c>
      <c r="D574" s="35" t="str">
        <f t="shared" si="17"/>
        <v/>
      </c>
      <c r="E574" s="35" t="str">
        <f t="shared" si="18"/>
        <v/>
      </c>
      <c r="F574" s="35" t="str">
        <f t="shared" si="19"/>
        <v/>
      </c>
      <c r="G574" s="35" t="str">
        <f t="shared" si="20"/>
        <v/>
      </c>
      <c r="H574" s="25"/>
      <c r="I574" s="47" t="str">
        <f t="shared" si="21"/>
        <v/>
      </c>
      <c r="J574" s="48"/>
      <c r="K574" s="21" t="str">
        <f t="shared" si="13"/>
        <v/>
      </c>
      <c r="L574" s="21" t="str">
        <f t="shared" si="3"/>
        <v/>
      </c>
      <c r="M574" s="21" t="str">
        <f t="array" ref="M574">IF(H574="","",SUMif(year(N$2:BO$2),M$2,N574:BO574))</f>
        <v/>
      </c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</row>
    <row r="575">
      <c r="A575" s="16" t="str">
        <f t="shared" si="14"/>
        <v/>
      </c>
      <c r="B575" s="16" t="str">
        <f t="shared" si="15"/>
        <v/>
      </c>
      <c r="C575" s="35" t="str">
        <f t="shared" si="16"/>
        <v/>
      </c>
      <c r="D575" s="35" t="str">
        <f t="shared" si="17"/>
        <v/>
      </c>
      <c r="E575" s="35" t="str">
        <f t="shared" si="18"/>
        <v/>
      </c>
      <c r="F575" s="35" t="str">
        <f t="shared" si="19"/>
        <v/>
      </c>
      <c r="G575" s="35" t="str">
        <f t="shared" si="20"/>
        <v/>
      </c>
      <c r="H575" s="25"/>
      <c r="I575" s="47" t="str">
        <f t="shared" si="21"/>
        <v/>
      </c>
      <c r="J575" s="48"/>
      <c r="K575" s="21" t="str">
        <f t="shared" si="13"/>
        <v/>
      </c>
      <c r="L575" s="21" t="str">
        <f t="shared" si="3"/>
        <v/>
      </c>
      <c r="M575" s="21" t="str">
        <f t="array" ref="M575">IF(H575="","",SUMif(year(N$2:BO$2),M$2,N575:BO575))</f>
        <v/>
      </c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</row>
    <row r="576">
      <c r="A576" s="16" t="str">
        <f t="shared" si="14"/>
        <v/>
      </c>
      <c r="B576" s="16" t="str">
        <f t="shared" si="15"/>
        <v/>
      </c>
      <c r="C576" s="35" t="str">
        <f t="shared" si="16"/>
        <v/>
      </c>
      <c r="D576" s="35" t="str">
        <f t="shared" si="17"/>
        <v/>
      </c>
      <c r="E576" s="35" t="str">
        <f t="shared" si="18"/>
        <v/>
      </c>
      <c r="F576" s="35" t="str">
        <f t="shared" si="19"/>
        <v/>
      </c>
      <c r="G576" s="35" t="str">
        <f t="shared" si="20"/>
        <v/>
      </c>
      <c r="H576" s="25"/>
      <c r="I576" s="47" t="str">
        <f t="shared" si="21"/>
        <v/>
      </c>
      <c r="J576" s="48"/>
      <c r="K576" s="21" t="str">
        <f t="shared" si="13"/>
        <v/>
      </c>
      <c r="L576" s="21" t="str">
        <f t="shared" si="3"/>
        <v/>
      </c>
      <c r="M576" s="21" t="str">
        <f t="array" ref="M576">IF(H576="","",SUMif(year(N$2:BO$2),M$2,N576:BO576))</f>
        <v/>
      </c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</row>
    <row r="577">
      <c r="A577" s="16" t="str">
        <f t="shared" si="14"/>
        <v/>
      </c>
      <c r="B577" s="16" t="str">
        <f t="shared" si="15"/>
        <v/>
      </c>
      <c r="C577" s="35" t="str">
        <f t="shared" si="16"/>
        <v/>
      </c>
      <c r="D577" s="35" t="str">
        <f t="shared" si="17"/>
        <v/>
      </c>
      <c r="E577" s="35" t="str">
        <f t="shared" si="18"/>
        <v/>
      </c>
      <c r="F577" s="35" t="str">
        <f t="shared" si="19"/>
        <v/>
      </c>
      <c r="G577" s="35" t="str">
        <f t="shared" si="20"/>
        <v/>
      </c>
      <c r="H577" s="25"/>
      <c r="I577" s="47" t="str">
        <f t="shared" si="21"/>
        <v/>
      </c>
      <c r="J577" s="48"/>
      <c r="K577" s="21" t="str">
        <f t="shared" si="13"/>
        <v/>
      </c>
      <c r="L577" s="21" t="str">
        <f t="shared" si="3"/>
        <v/>
      </c>
      <c r="M577" s="21" t="str">
        <f t="array" ref="M577">IF(H577="","",SUMif(year(N$2:BO$2),M$2,N577:BO577))</f>
        <v/>
      </c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</row>
    <row r="578">
      <c r="A578" s="16" t="str">
        <f t="shared" si="14"/>
        <v/>
      </c>
      <c r="B578" s="16" t="str">
        <f t="shared" si="15"/>
        <v/>
      </c>
      <c r="C578" s="35" t="str">
        <f t="shared" si="16"/>
        <v/>
      </c>
      <c r="D578" s="35" t="str">
        <f t="shared" si="17"/>
        <v/>
      </c>
      <c r="E578" s="35" t="str">
        <f t="shared" si="18"/>
        <v/>
      </c>
      <c r="F578" s="35" t="str">
        <f t="shared" si="19"/>
        <v/>
      </c>
      <c r="G578" s="35" t="str">
        <f t="shared" si="20"/>
        <v/>
      </c>
      <c r="H578" s="25"/>
      <c r="I578" s="47" t="str">
        <f t="shared" si="21"/>
        <v/>
      </c>
      <c r="J578" s="48"/>
      <c r="K578" s="21" t="str">
        <f t="shared" si="13"/>
        <v/>
      </c>
      <c r="L578" s="21" t="str">
        <f t="shared" si="3"/>
        <v/>
      </c>
      <c r="M578" s="21" t="str">
        <f t="array" ref="M578">IF(H578="","",SUMif(year(N$2:BO$2),M$2,N578:BO578))</f>
        <v/>
      </c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</row>
    <row r="579">
      <c r="A579" s="16" t="str">
        <f t="shared" si="14"/>
        <v/>
      </c>
      <c r="B579" s="16" t="str">
        <f t="shared" si="15"/>
        <v/>
      </c>
      <c r="C579" s="35" t="str">
        <f t="shared" si="16"/>
        <v/>
      </c>
      <c r="D579" s="35" t="str">
        <f t="shared" si="17"/>
        <v/>
      </c>
      <c r="E579" s="35" t="str">
        <f t="shared" si="18"/>
        <v/>
      </c>
      <c r="F579" s="35" t="str">
        <f t="shared" si="19"/>
        <v/>
      </c>
      <c r="G579" s="35" t="str">
        <f t="shared" si="20"/>
        <v/>
      </c>
      <c r="H579" s="25"/>
      <c r="I579" s="47" t="str">
        <f t="shared" si="21"/>
        <v/>
      </c>
      <c r="J579" s="48"/>
      <c r="K579" s="21" t="str">
        <f t="shared" si="13"/>
        <v/>
      </c>
      <c r="L579" s="21" t="str">
        <f t="shared" si="3"/>
        <v/>
      </c>
      <c r="M579" s="21" t="str">
        <f t="array" ref="M579">IF(H579="","",SUMif(year(N$2:BO$2),M$2,N579:BO579))</f>
        <v/>
      </c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</row>
    <row r="580">
      <c r="A580" s="16" t="str">
        <f t="shared" si="14"/>
        <v/>
      </c>
      <c r="B580" s="16" t="str">
        <f t="shared" si="15"/>
        <v/>
      </c>
      <c r="C580" s="35" t="str">
        <f t="shared" si="16"/>
        <v/>
      </c>
      <c r="D580" s="35" t="str">
        <f t="shared" si="17"/>
        <v/>
      </c>
      <c r="E580" s="35" t="str">
        <f t="shared" si="18"/>
        <v/>
      </c>
      <c r="F580" s="35" t="str">
        <f t="shared" si="19"/>
        <v/>
      </c>
      <c r="G580" s="35" t="str">
        <f t="shared" si="20"/>
        <v/>
      </c>
      <c r="H580" s="25"/>
      <c r="I580" s="47" t="str">
        <f t="shared" si="21"/>
        <v/>
      </c>
      <c r="J580" s="48"/>
      <c r="K580" s="21" t="str">
        <f t="shared" si="13"/>
        <v/>
      </c>
      <c r="L580" s="21" t="str">
        <f t="shared" si="3"/>
        <v/>
      </c>
      <c r="M580" s="21" t="str">
        <f t="array" ref="M580">IF(H580="","",SUMif(year(N$2:BO$2),M$2,N580:BO580))</f>
        <v/>
      </c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</row>
    <row r="581">
      <c r="A581" s="16" t="str">
        <f t="shared" si="14"/>
        <v/>
      </c>
      <c r="B581" s="16" t="str">
        <f t="shared" si="15"/>
        <v/>
      </c>
      <c r="C581" s="35" t="str">
        <f t="shared" si="16"/>
        <v/>
      </c>
      <c r="D581" s="35" t="str">
        <f t="shared" si="17"/>
        <v/>
      </c>
      <c r="E581" s="35" t="str">
        <f t="shared" si="18"/>
        <v/>
      </c>
      <c r="F581" s="35" t="str">
        <f t="shared" si="19"/>
        <v/>
      </c>
      <c r="G581" s="35" t="str">
        <f t="shared" si="20"/>
        <v/>
      </c>
      <c r="H581" s="25"/>
      <c r="I581" s="47" t="str">
        <f t="shared" si="21"/>
        <v/>
      </c>
      <c r="J581" s="48"/>
      <c r="K581" s="21" t="str">
        <f t="shared" si="13"/>
        <v/>
      </c>
      <c r="L581" s="21" t="str">
        <f t="shared" si="3"/>
        <v/>
      </c>
      <c r="M581" s="21" t="str">
        <f t="array" ref="M581">IF(H581="","",SUMif(year(N$2:BO$2),M$2,N581:BO581))</f>
        <v/>
      </c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</row>
    <row r="582">
      <c r="A582" s="16" t="str">
        <f t="shared" si="14"/>
        <v/>
      </c>
      <c r="B582" s="16" t="str">
        <f t="shared" si="15"/>
        <v/>
      </c>
      <c r="C582" s="35" t="str">
        <f t="shared" si="16"/>
        <v/>
      </c>
      <c r="D582" s="35" t="str">
        <f t="shared" si="17"/>
        <v/>
      </c>
      <c r="E582" s="35" t="str">
        <f t="shared" si="18"/>
        <v/>
      </c>
      <c r="F582" s="35" t="str">
        <f t="shared" si="19"/>
        <v/>
      </c>
      <c r="G582" s="35" t="str">
        <f t="shared" si="20"/>
        <v/>
      </c>
      <c r="H582" s="25"/>
      <c r="I582" s="47" t="str">
        <f t="shared" si="21"/>
        <v/>
      </c>
      <c r="J582" s="48"/>
      <c r="K582" s="21" t="str">
        <f t="shared" si="13"/>
        <v/>
      </c>
      <c r="L582" s="21" t="str">
        <f t="shared" si="3"/>
        <v/>
      </c>
      <c r="M582" s="21" t="str">
        <f t="array" ref="M582">IF(H582="","",SUMif(year(N$2:BO$2),M$2,N582:BO582))</f>
        <v/>
      </c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</row>
    <row r="583">
      <c r="A583" s="16" t="str">
        <f t="shared" si="14"/>
        <v/>
      </c>
      <c r="B583" s="16" t="str">
        <f t="shared" si="15"/>
        <v/>
      </c>
      <c r="C583" s="35" t="str">
        <f t="shared" si="16"/>
        <v/>
      </c>
      <c r="D583" s="35" t="str">
        <f t="shared" si="17"/>
        <v/>
      </c>
      <c r="E583" s="35" t="str">
        <f t="shared" si="18"/>
        <v/>
      </c>
      <c r="F583" s="35" t="str">
        <f t="shared" si="19"/>
        <v/>
      </c>
      <c r="G583" s="35" t="str">
        <f t="shared" si="20"/>
        <v/>
      </c>
      <c r="H583" s="25"/>
      <c r="I583" s="47" t="str">
        <f t="shared" si="21"/>
        <v/>
      </c>
      <c r="J583" s="48"/>
      <c r="K583" s="21" t="str">
        <f t="shared" si="13"/>
        <v/>
      </c>
      <c r="L583" s="21" t="str">
        <f t="shared" si="3"/>
        <v/>
      </c>
      <c r="M583" s="21" t="str">
        <f t="array" ref="M583">IF(H583="","",SUMif(year(N$2:BO$2),M$2,N583:BO583))</f>
        <v/>
      </c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</row>
    <row r="584">
      <c r="A584" s="16" t="str">
        <f t="shared" si="14"/>
        <v/>
      </c>
      <c r="B584" s="16" t="str">
        <f t="shared" si="15"/>
        <v/>
      </c>
      <c r="C584" s="35" t="str">
        <f t="shared" si="16"/>
        <v/>
      </c>
      <c r="D584" s="35" t="str">
        <f t="shared" si="17"/>
        <v/>
      </c>
      <c r="E584" s="35" t="str">
        <f t="shared" si="18"/>
        <v/>
      </c>
      <c r="F584" s="35" t="str">
        <f t="shared" si="19"/>
        <v/>
      </c>
      <c r="G584" s="35" t="str">
        <f t="shared" si="20"/>
        <v/>
      </c>
      <c r="H584" s="25"/>
      <c r="I584" s="47" t="str">
        <f t="shared" si="21"/>
        <v/>
      </c>
      <c r="J584" s="48"/>
      <c r="K584" s="21" t="str">
        <f t="shared" si="13"/>
        <v/>
      </c>
      <c r="L584" s="21" t="str">
        <f t="shared" si="3"/>
        <v/>
      </c>
      <c r="M584" s="21" t="str">
        <f t="array" ref="M584">IF(H584="","",SUMif(year(N$2:BO$2),M$2,N584:BO584))</f>
        <v/>
      </c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</row>
    <row r="585">
      <c r="A585" s="16" t="str">
        <f t="shared" si="14"/>
        <v/>
      </c>
      <c r="B585" s="16" t="str">
        <f t="shared" si="15"/>
        <v/>
      </c>
      <c r="C585" s="35" t="str">
        <f t="shared" si="16"/>
        <v/>
      </c>
      <c r="D585" s="35" t="str">
        <f t="shared" si="17"/>
        <v/>
      </c>
      <c r="E585" s="35" t="str">
        <f t="shared" si="18"/>
        <v/>
      </c>
      <c r="F585" s="35" t="str">
        <f t="shared" si="19"/>
        <v/>
      </c>
      <c r="G585" s="35" t="str">
        <f t="shared" si="20"/>
        <v/>
      </c>
      <c r="H585" s="25"/>
      <c r="I585" s="47" t="str">
        <f t="shared" si="21"/>
        <v/>
      </c>
      <c r="J585" s="48"/>
      <c r="K585" s="21" t="str">
        <f t="shared" si="13"/>
        <v/>
      </c>
      <c r="L585" s="21" t="str">
        <f t="shared" si="3"/>
        <v/>
      </c>
      <c r="M585" s="21" t="str">
        <f t="array" ref="M585">IF(H585="","",SUMif(year(N$2:BO$2),M$2,N585:BO585))</f>
        <v/>
      </c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</row>
    <row r="586">
      <c r="A586" s="16" t="str">
        <f t="shared" si="14"/>
        <v/>
      </c>
      <c r="B586" s="16" t="str">
        <f t="shared" si="15"/>
        <v/>
      </c>
      <c r="C586" s="35" t="str">
        <f t="shared" si="16"/>
        <v/>
      </c>
      <c r="D586" s="35" t="str">
        <f t="shared" si="17"/>
        <v/>
      </c>
      <c r="E586" s="35" t="str">
        <f t="shared" si="18"/>
        <v/>
      </c>
      <c r="F586" s="35" t="str">
        <f t="shared" si="19"/>
        <v/>
      </c>
      <c r="G586" s="35" t="str">
        <f t="shared" si="20"/>
        <v/>
      </c>
      <c r="H586" s="25"/>
      <c r="I586" s="47" t="str">
        <f t="shared" si="21"/>
        <v/>
      </c>
      <c r="J586" s="48"/>
      <c r="K586" s="21" t="str">
        <f t="shared" si="13"/>
        <v/>
      </c>
      <c r="L586" s="21" t="str">
        <f t="shared" si="3"/>
        <v/>
      </c>
      <c r="M586" s="21" t="str">
        <f t="array" ref="M586">IF(H586="","",SUMif(year(N$2:BO$2),M$2,N586:BO586))</f>
        <v/>
      </c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</row>
    <row r="587">
      <c r="A587" s="16" t="str">
        <f t="shared" si="14"/>
        <v/>
      </c>
      <c r="B587" s="16" t="str">
        <f t="shared" si="15"/>
        <v/>
      </c>
      <c r="C587" s="35" t="str">
        <f t="shared" si="16"/>
        <v/>
      </c>
      <c r="D587" s="35" t="str">
        <f t="shared" si="17"/>
        <v/>
      </c>
      <c r="E587" s="35" t="str">
        <f t="shared" si="18"/>
        <v/>
      </c>
      <c r="F587" s="35" t="str">
        <f t="shared" si="19"/>
        <v/>
      </c>
      <c r="G587" s="35" t="str">
        <f t="shared" si="20"/>
        <v/>
      </c>
      <c r="H587" s="25"/>
      <c r="I587" s="47" t="str">
        <f t="shared" si="21"/>
        <v/>
      </c>
      <c r="J587" s="48"/>
      <c r="K587" s="21" t="str">
        <f t="shared" si="13"/>
        <v/>
      </c>
      <c r="L587" s="21" t="str">
        <f t="shared" si="3"/>
        <v/>
      </c>
      <c r="M587" s="21" t="str">
        <f t="array" ref="M587">IF(H587="","",SUMif(year(N$2:BO$2),M$2,N587:BO587))</f>
        <v/>
      </c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</row>
    <row r="588">
      <c r="A588" s="16" t="str">
        <f t="shared" si="14"/>
        <v/>
      </c>
      <c r="B588" s="16" t="str">
        <f t="shared" si="15"/>
        <v/>
      </c>
      <c r="C588" s="35" t="str">
        <f t="shared" si="16"/>
        <v/>
      </c>
      <c r="D588" s="35" t="str">
        <f t="shared" si="17"/>
        <v/>
      </c>
      <c r="E588" s="35" t="str">
        <f t="shared" si="18"/>
        <v/>
      </c>
      <c r="F588" s="35" t="str">
        <f t="shared" si="19"/>
        <v/>
      </c>
      <c r="G588" s="35" t="str">
        <f t="shared" si="20"/>
        <v/>
      </c>
      <c r="H588" s="25"/>
      <c r="I588" s="47" t="str">
        <f t="shared" si="21"/>
        <v/>
      </c>
      <c r="J588" s="48"/>
      <c r="K588" s="21" t="str">
        <f t="shared" si="13"/>
        <v/>
      </c>
      <c r="L588" s="21" t="str">
        <f t="shared" si="3"/>
        <v/>
      </c>
      <c r="M588" s="21" t="str">
        <f t="array" ref="M588">IF(H588="","",SUMif(year(N$2:BO$2),M$2,N588:BO588))</f>
        <v/>
      </c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</row>
    <row r="589">
      <c r="A589" s="16" t="str">
        <f t="shared" si="14"/>
        <v/>
      </c>
      <c r="B589" s="16" t="str">
        <f t="shared" si="15"/>
        <v/>
      </c>
      <c r="C589" s="35" t="str">
        <f t="shared" si="16"/>
        <v/>
      </c>
      <c r="D589" s="35" t="str">
        <f t="shared" si="17"/>
        <v/>
      </c>
      <c r="E589" s="35" t="str">
        <f t="shared" si="18"/>
        <v/>
      </c>
      <c r="F589" s="35" t="str">
        <f t="shared" si="19"/>
        <v/>
      </c>
      <c r="G589" s="35" t="str">
        <f t="shared" si="20"/>
        <v/>
      </c>
      <c r="H589" s="25"/>
      <c r="I589" s="47" t="str">
        <f t="shared" si="21"/>
        <v/>
      </c>
      <c r="J589" s="48"/>
      <c r="K589" s="21" t="str">
        <f t="shared" si="13"/>
        <v/>
      </c>
      <c r="L589" s="21" t="str">
        <f t="shared" si="3"/>
        <v/>
      </c>
      <c r="M589" s="21" t="str">
        <f t="array" ref="M589">IF(H589="","",SUMif(year(N$2:BO$2),M$2,N589:BO589))</f>
        <v/>
      </c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</row>
    <row r="590">
      <c r="A590" s="16" t="str">
        <f t="shared" si="14"/>
        <v/>
      </c>
      <c r="B590" s="16" t="str">
        <f t="shared" si="15"/>
        <v/>
      </c>
      <c r="C590" s="35" t="str">
        <f t="shared" si="16"/>
        <v/>
      </c>
      <c r="D590" s="35" t="str">
        <f t="shared" si="17"/>
        <v/>
      </c>
      <c r="E590" s="35" t="str">
        <f t="shared" si="18"/>
        <v/>
      </c>
      <c r="F590" s="35" t="str">
        <f t="shared" si="19"/>
        <v/>
      </c>
      <c r="G590" s="35" t="str">
        <f t="shared" si="20"/>
        <v/>
      </c>
      <c r="H590" s="25"/>
      <c r="I590" s="47" t="str">
        <f t="shared" si="21"/>
        <v/>
      </c>
      <c r="J590" s="48"/>
      <c r="K590" s="21" t="str">
        <f t="shared" si="13"/>
        <v/>
      </c>
      <c r="L590" s="21" t="str">
        <f t="shared" si="3"/>
        <v/>
      </c>
      <c r="M590" s="21" t="str">
        <f t="array" ref="M590">IF(H590="","",SUMif(year(N$2:BO$2),M$2,N590:BO590))</f>
        <v/>
      </c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</row>
    <row r="591">
      <c r="A591" s="16" t="str">
        <f t="shared" si="14"/>
        <v/>
      </c>
      <c r="B591" s="16" t="str">
        <f t="shared" si="15"/>
        <v/>
      </c>
      <c r="C591" s="35" t="str">
        <f t="shared" si="16"/>
        <v/>
      </c>
      <c r="D591" s="35" t="str">
        <f t="shared" si="17"/>
        <v/>
      </c>
      <c r="E591" s="35" t="str">
        <f t="shared" si="18"/>
        <v/>
      </c>
      <c r="F591" s="35" t="str">
        <f t="shared" si="19"/>
        <v/>
      </c>
      <c r="G591" s="35" t="str">
        <f t="shared" si="20"/>
        <v/>
      </c>
      <c r="H591" s="25"/>
      <c r="I591" s="47" t="str">
        <f t="shared" si="21"/>
        <v/>
      </c>
      <c r="J591" s="48"/>
      <c r="K591" s="21" t="str">
        <f t="shared" si="13"/>
        <v/>
      </c>
      <c r="L591" s="21" t="str">
        <f t="shared" si="3"/>
        <v/>
      </c>
      <c r="M591" s="21" t="str">
        <f t="array" ref="M591">IF(H591="","",SUMif(year(N$2:BO$2),M$2,N591:BO591))</f>
        <v/>
      </c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</row>
    <row r="592">
      <c r="A592" s="16" t="str">
        <f t="shared" si="14"/>
        <v/>
      </c>
      <c r="B592" s="16" t="str">
        <f t="shared" si="15"/>
        <v/>
      </c>
      <c r="C592" s="35" t="str">
        <f t="shared" si="16"/>
        <v/>
      </c>
      <c r="D592" s="35" t="str">
        <f t="shared" si="17"/>
        <v/>
      </c>
      <c r="E592" s="35" t="str">
        <f t="shared" si="18"/>
        <v/>
      </c>
      <c r="F592" s="35" t="str">
        <f t="shared" si="19"/>
        <v/>
      </c>
      <c r="G592" s="35" t="str">
        <f t="shared" si="20"/>
        <v/>
      </c>
      <c r="H592" s="25"/>
      <c r="I592" s="47" t="str">
        <f t="shared" si="21"/>
        <v/>
      </c>
      <c r="J592" s="48"/>
      <c r="K592" s="21" t="str">
        <f t="shared" si="13"/>
        <v/>
      </c>
      <c r="L592" s="21" t="str">
        <f t="shared" si="3"/>
        <v/>
      </c>
      <c r="M592" s="21" t="str">
        <f t="array" ref="M592">IF(H592="","",SUMif(year(N$2:BO$2),M$2,N592:BO592))</f>
        <v/>
      </c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</row>
    <row r="593">
      <c r="A593" s="16" t="str">
        <f t="shared" si="14"/>
        <v/>
      </c>
      <c r="B593" s="16" t="str">
        <f t="shared" si="15"/>
        <v/>
      </c>
      <c r="C593" s="35" t="str">
        <f t="shared" si="16"/>
        <v/>
      </c>
      <c r="D593" s="35" t="str">
        <f t="shared" si="17"/>
        <v/>
      </c>
      <c r="E593" s="35" t="str">
        <f t="shared" si="18"/>
        <v/>
      </c>
      <c r="F593" s="35" t="str">
        <f t="shared" si="19"/>
        <v/>
      </c>
      <c r="G593" s="35" t="str">
        <f t="shared" si="20"/>
        <v/>
      </c>
      <c r="H593" s="25"/>
      <c r="I593" s="47" t="str">
        <f t="shared" si="21"/>
        <v/>
      </c>
      <c r="J593" s="48"/>
      <c r="K593" s="21" t="str">
        <f t="shared" si="13"/>
        <v/>
      </c>
      <c r="L593" s="21" t="str">
        <f t="shared" si="3"/>
        <v/>
      </c>
      <c r="M593" s="21" t="str">
        <f t="array" ref="M593">IF(H593="","",SUMif(year(N$2:BO$2),M$2,N593:BO593))</f>
        <v/>
      </c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</row>
    <row r="594">
      <c r="A594" s="16" t="str">
        <f t="shared" si="14"/>
        <v/>
      </c>
      <c r="B594" s="16" t="str">
        <f t="shared" si="15"/>
        <v/>
      </c>
      <c r="C594" s="35" t="str">
        <f t="shared" si="16"/>
        <v/>
      </c>
      <c r="D594" s="35" t="str">
        <f t="shared" si="17"/>
        <v/>
      </c>
      <c r="E594" s="35" t="str">
        <f t="shared" si="18"/>
        <v/>
      </c>
      <c r="F594" s="35" t="str">
        <f t="shared" si="19"/>
        <v/>
      </c>
      <c r="G594" s="35" t="str">
        <f t="shared" si="20"/>
        <v/>
      </c>
      <c r="H594" s="25"/>
      <c r="I594" s="47" t="str">
        <f t="shared" si="21"/>
        <v/>
      </c>
      <c r="J594" s="48"/>
      <c r="K594" s="21" t="str">
        <f t="shared" si="13"/>
        <v/>
      </c>
      <c r="L594" s="21" t="str">
        <f t="shared" si="3"/>
        <v/>
      </c>
      <c r="M594" s="21" t="str">
        <f t="array" ref="M594">IF(H594="","",SUMif(year(N$2:BO$2),M$2,N594:BO594))</f>
        <v/>
      </c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</row>
    <row r="595">
      <c r="A595" s="16" t="str">
        <f t="shared" si="14"/>
        <v/>
      </c>
      <c r="B595" s="16" t="str">
        <f t="shared" si="15"/>
        <v/>
      </c>
      <c r="C595" s="35" t="str">
        <f t="shared" si="16"/>
        <v/>
      </c>
      <c r="D595" s="35" t="str">
        <f t="shared" si="17"/>
        <v/>
      </c>
      <c r="E595" s="35" t="str">
        <f t="shared" si="18"/>
        <v/>
      </c>
      <c r="F595" s="35" t="str">
        <f t="shared" si="19"/>
        <v/>
      </c>
      <c r="G595" s="35" t="str">
        <f t="shared" si="20"/>
        <v/>
      </c>
      <c r="H595" s="25"/>
      <c r="I595" s="47" t="str">
        <f t="shared" si="21"/>
        <v/>
      </c>
      <c r="J595" s="48"/>
      <c r="K595" s="21" t="str">
        <f t="shared" si="13"/>
        <v/>
      </c>
      <c r="L595" s="21" t="str">
        <f t="shared" si="3"/>
        <v/>
      </c>
      <c r="M595" s="21" t="str">
        <f t="array" ref="M595">IF(H595="","",SUMif(year(N$2:BO$2),M$2,N595:BO595))</f>
        <v/>
      </c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</row>
    <row r="596">
      <c r="A596" s="16" t="str">
        <f t="shared" si="14"/>
        <v/>
      </c>
      <c r="B596" s="16" t="str">
        <f t="shared" si="15"/>
        <v/>
      </c>
      <c r="C596" s="35" t="str">
        <f t="shared" si="16"/>
        <v/>
      </c>
      <c r="D596" s="35" t="str">
        <f t="shared" si="17"/>
        <v/>
      </c>
      <c r="E596" s="35" t="str">
        <f t="shared" si="18"/>
        <v/>
      </c>
      <c r="F596" s="35" t="str">
        <f t="shared" si="19"/>
        <v/>
      </c>
      <c r="G596" s="35" t="str">
        <f t="shared" si="20"/>
        <v/>
      </c>
      <c r="H596" s="25"/>
      <c r="I596" s="47" t="str">
        <f t="shared" si="21"/>
        <v/>
      </c>
      <c r="J596" s="48"/>
      <c r="K596" s="21" t="str">
        <f t="shared" si="13"/>
        <v/>
      </c>
      <c r="L596" s="21" t="str">
        <f t="shared" si="3"/>
        <v/>
      </c>
      <c r="M596" s="21" t="str">
        <f t="array" ref="M596">IF(H596="","",SUMif(year(N$2:BO$2),M$2,N596:BO596))</f>
        <v/>
      </c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</row>
    <row r="597">
      <c r="A597" s="16" t="str">
        <f t="shared" si="14"/>
        <v/>
      </c>
      <c r="B597" s="16" t="str">
        <f t="shared" si="15"/>
        <v/>
      </c>
      <c r="C597" s="35" t="str">
        <f t="shared" si="16"/>
        <v/>
      </c>
      <c r="D597" s="35" t="str">
        <f t="shared" si="17"/>
        <v/>
      </c>
      <c r="E597" s="35" t="str">
        <f t="shared" si="18"/>
        <v/>
      </c>
      <c r="F597" s="35" t="str">
        <f t="shared" si="19"/>
        <v/>
      </c>
      <c r="G597" s="35" t="str">
        <f t="shared" si="20"/>
        <v/>
      </c>
      <c r="H597" s="25"/>
      <c r="I597" s="47" t="str">
        <f t="shared" si="21"/>
        <v/>
      </c>
      <c r="J597" s="48"/>
      <c r="K597" s="21" t="str">
        <f t="shared" si="13"/>
        <v/>
      </c>
      <c r="L597" s="21" t="str">
        <f t="shared" si="3"/>
        <v/>
      </c>
      <c r="M597" s="21" t="str">
        <f t="array" ref="M597">IF(H597="","",SUMif(year(N$2:BO$2),M$2,N597:BO597))</f>
        <v/>
      </c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</row>
    <row r="598">
      <c r="A598" s="16" t="str">
        <f t="shared" si="14"/>
        <v/>
      </c>
      <c r="B598" s="16" t="str">
        <f t="shared" si="15"/>
        <v/>
      </c>
      <c r="C598" s="35" t="str">
        <f t="shared" si="16"/>
        <v/>
      </c>
      <c r="D598" s="35" t="str">
        <f t="shared" si="17"/>
        <v/>
      </c>
      <c r="E598" s="35" t="str">
        <f t="shared" si="18"/>
        <v/>
      </c>
      <c r="F598" s="35" t="str">
        <f t="shared" si="19"/>
        <v/>
      </c>
      <c r="G598" s="35" t="str">
        <f t="shared" si="20"/>
        <v/>
      </c>
      <c r="H598" s="25"/>
      <c r="I598" s="47" t="str">
        <f t="shared" si="21"/>
        <v/>
      </c>
      <c r="J598" s="48"/>
      <c r="K598" s="21" t="str">
        <f t="shared" si="13"/>
        <v/>
      </c>
      <c r="L598" s="21" t="str">
        <f t="shared" si="3"/>
        <v/>
      </c>
      <c r="M598" s="21" t="str">
        <f t="array" ref="M598">IF(H598="","",SUMif(year(N$2:BO$2),M$2,N598:BO598))</f>
        <v/>
      </c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</row>
    <row r="599">
      <c r="A599" s="16" t="str">
        <f t="shared" si="14"/>
        <v/>
      </c>
      <c r="B599" s="16" t="str">
        <f t="shared" si="15"/>
        <v/>
      </c>
      <c r="C599" s="35" t="str">
        <f t="shared" si="16"/>
        <v/>
      </c>
      <c r="D599" s="35" t="str">
        <f t="shared" si="17"/>
        <v/>
      </c>
      <c r="E599" s="35" t="str">
        <f t="shared" si="18"/>
        <v/>
      </c>
      <c r="F599" s="35" t="str">
        <f t="shared" si="19"/>
        <v/>
      </c>
      <c r="G599" s="35" t="str">
        <f t="shared" si="20"/>
        <v/>
      </c>
      <c r="H599" s="25"/>
      <c r="I599" s="47" t="str">
        <f t="shared" si="21"/>
        <v/>
      </c>
      <c r="J599" s="48"/>
      <c r="K599" s="21" t="str">
        <f t="shared" si="13"/>
        <v/>
      </c>
      <c r="L599" s="21" t="str">
        <f t="shared" si="3"/>
        <v/>
      </c>
      <c r="M599" s="21" t="str">
        <f t="array" ref="M599">IF(H599="","",SUMif(year(N$2:BO$2),M$2,N599:BO599))</f>
        <v/>
      </c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</row>
    <row r="600">
      <c r="A600" s="16" t="str">
        <f t="shared" si="14"/>
        <v/>
      </c>
      <c r="B600" s="16" t="str">
        <f t="shared" si="15"/>
        <v/>
      </c>
      <c r="C600" s="35" t="str">
        <f t="shared" si="16"/>
        <v/>
      </c>
      <c r="D600" s="35" t="str">
        <f t="shared" si="17"/>
        <v/>
      </c>
      <c r="E600" s="35" t="str">
        <f t="shared" si="18"/>
        <v/>
      </c>
      <c r="F600" s="35" t="str">
        <f t="shared" si="19"/>
        <v/>
      </c>
      <c r="G600" s="35" t="str">
        <f t="shared" si="20"/>
        <v/>
      </c>
      <c r="H600" s="25"/>
      <c r="I600" s="47" t="str">
        <f t="shared" si="21"/>
        <v/>
      </c>
      <c r="J600" s="48"/>
      <c r="K600" s="21" t="str">
        <f t="shared" si="13"/>
        <v/>
      </c>
      <c r="L600" s="21" t="str">
        <f t="shared" si="3"/>
        <v/>
      </c>
      <c r="M600" s="21" t="str">
        <f t="array" ref="M600">IF(H600="","",SUMif(year(N$2:BO$2),M$2,N600:BO600))</f>
        <v/>
      </c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</row>
    <row r="601">
      <c r="A601" s="16" t="str">
        <f t="shared" si="14"/>
        <v/>
      </c>
      <c r="B601" s="16" t="str">
        <f t="shared" si="15"/>
        <v/>
      </c>
      <c r="C601" s="35" t="str">
        <f t="shared" si="16"/>
        <v/>
      </c>
      <c r="D601" s="35" t="str">
        <f t="shared" si="17"/>
        <v/>
      </c>
      <c r="E601" s="35" t="str">
        <f t="shared" si="18"/>
        <v/>
      </c>
      <c r="F601" s="35" t="str">
        <f t="shared" si="19"/>
        <v/>
      </c>
      <c r="G601" s="35" t="str">
        <f t="shared" si="20"/>
        <v/>
      </c>
      <c r="H601" s="25"/>
      <c r="I601" s="47" t="str">
        <f t="shared" si="21"/>
        <v/>
      </c>
      <c r="J601" s="48"/>
      <c r="K601" s="21" t="str">
        <f t="shared" si="13"/>
        <v/>
      </c>
      <c r="L601" s="21" t="str">
        <f t="shared" si="3"/>
        <v/>
      </c>
      <c r="M601" s="21" t="str">
        <f t="array" ref="M601">IF(H601="","",SUMif(year(N$2:BO$2),M$2,N601:BO601))</f>
        <v/>
      </c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</row>
    <row r="602">
      <c r="A602" s="16" t="str">
        <f t="shared" si="14"/>
        <v/>
      </c>
      <c r="B602" s="16" t="str">
        <f t="shared" si="15"/>
        <v/>
      </c>
      <c r="C602" s="35" t="str">
        <f t="shared" si="16"/>
        <v/>
      </c>
      <c r="D602" s="35" t="str">
        <f t="shared" si="17"/>
        <v/>
      </c>
      <c r="E602" s="35" t="str">
        <f t="shared" si="18"/>
        <v/>
      </c>
      <c r="F602" s="35" t="str">
        <f t="shared" si="19"/>
        <v/>
      </c>
      <c r="G602" s="35" t="str">
        <f t="shared" si="20"/>
        <v/>
      </c>
      <c r="H602" s="25"/>
      <c r="I602" s="47" t="str">
        <f t="shared" si="21"/>
        <v/>
      </c>
      <c r="J602" s="48"/>
      <c r="K602" s="21" t="str">
        <f t="shared" si="13"/>
        <v/>
      </c>
      <c r="L602" s="21" t="str">
        <f t="shared" si="3"/>
        <v/>
      </c>
      <c r="M602" s="21" t="str">
        <f t="array" ref="M602">IF(H602="","",SUMif(year(N$2:BO$2),M$2,N602:BO602))</f>
        <v/>
      </c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</row>
    <row r="603">
      <c r="A603" s="16" t="str">
        <f t="shared" si="14"/>
        <v/>
      </c>
      <c r="B603" s="16" t="str">
        <f t="shared" si="15"/>
        <v/>
      </c>
      <c r="C603" s="35" t="str">
        <f t="shared" si="16"/>
        <v/>
      </c>
      <c r="D603" s="35" t="str">
        <f t="shared" si="17"/>
        <v/>
      </c>
      <c r="E603" s="35" t="str">
        <f t="shared" si="18"/>
        <v/>
      </c>
      <c r="F603" s="35" t="str">
        <f t="shared" si="19"/>
        <v/>
      </c>
      <c r="G603" s="35" t="str">
        <f t="shared" si="20"/>
        <v/>
      </c>
      <c r="H603" s="25"/>
      <c r="I603" s="47" t="str">
        <f t="shared" si="21"/>
        <v/>
      </c>
      <c r="J603" s="48"/>
      <c r="K603" s="21" t="str">
        <f t="shared" si="13"/>
        <v/>
      </c>
      <c r="L603" s="21" t="str">
        <f t="shared" si="3"/>
        <v/>
      </c>
      <c r="M603" s="21" t="str">
        <f t="array" ref="M603">IF(H603="","",SUMif(year(N$2:BO$2),M$2,N603:BO603))</f>
        <v/>
      </c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</row>
    <row r="604">
      <c r="A604" s="16" t="str">
        <f t="shared" si="14"/>
        <v/>
      </c>
      <c r="B604" s="16" t="str">
        <f t="shared" si="15"/>
        <v/>
      </c>
      <c r="C604" s="35" t="str">
        <f t="shared" si="16"/>
        <v/>
      </c>
      <c r="D604" s="35" t="str">
        <f t="shared" si="17"/>
        <v/>
      </c>
      <c r="E604" s="35" t="str">
        <f t="shared" si="18"/>
        <v/>
      </c>
      <c r="F604" s="35" t="str">
        <f t="shared" si="19"/>
        <v/>
      </c>
      <c r="G604" s="35" t="str">
        <f t="shared" si="20"/>
        <v/>
      </c>
      <c r="H604" s="25"/>
      <c r="I604" s="47" t="str">
        <f t="shared" si="21"/>
        <v/>
      </c>
      <c r="J604" s="48"/>
      <c r="K604" s="21" t="str">
        <f t="shared" si="13"/>
        <v/>
      </c>
      <c r="L604" s="21" t="str">
        <f t="shared" si="3"/>
        <v/>
      </c>
      <c r="M604" s="21" t="str">
        <f t="array" ref="M604">IF(H604="","",SUMif(year(N$2:BO$2),M$2,N604:BO604))</f>
        <v/>
      </c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</row>
    <row r="605">
      <c r="A605" s="16" t="str">
        <f t="shared" si="14"/>
        <v/>
      </c>
      <c r="B605" s="16" t="str">
        <f t="shared" si="15"/>
        <v/>
      </c>
      <c r="C605" s="35" t="str">
        <f t="shared" si="16"/>
        <v/>
      </c>
      <c r="D605" s="35" t="str">
        <f t="shared" si="17"/>
        <v/>
      </c>
      <c r="E605" s="35" t="str">
        <f t="shared" si="18"/>
        <v/>
      </c>
      <c r="F605" s="35" t="str">
        <f t="shared" si="19"/>
        <v/>
      </c>
      <c r="G605" s="35" t="str">
        <f t="shared" si="20"/>
        <v/>
      </c>
      <c r="H605" s="25"/>
      <c r="I605" s="47" t="str">
        <f t="shared" si="21"/>
        <v/>
      </c>
      <c r="J605" s="48"/>
      <c r="K605" s="21" t="str">
        <f t="shared" si="13"/>
        <v/>
      </c>
      <c r="L605" s="21" t="str">
        <f t="shared" si="3"/>
        <v/>
      </c>
      <c r="M605" s="21" t="str">
        <f t="array" ref="M605">IF(H605="","",SUMif(year(N$2:BO$2),M$2,N605:BO605))</f>
        <v/>
      </c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</row>
    <row r="606">
      <c r="A606" s="16" t="str">
        <f t="shared" si="14"/>
        <v/>
      </c>
      <c r="B606" s="16" t="str">
        <f t="shared" si="15"/>
        <v/>
      </c>
      <c r="C606" s="35" t="str">
        <f t="shared" si="16"/>
        <v/>
      </c>
      <c r="D606" s="35" t="str">
        <f t="shared" si="17"/>
        <v/>
      </c>
      <c r="E606" s="35" t="str">
        <f t="shared" si="18"/>
        <v/>
      </c>
      <c r="F606" s="35" t="str">
        <f t="shared" si="19"/>
        <v/>
      </c>
      <c r="G606" s="35" t="str">
        <f t="shared" si="20"/>
        <v/>
      </c>
      <c r="H606" s="25"/>
      <c r="I606" s="47" t="str">
        <f t="shared" si="21"/>
        <v/>
      </c>
      <c r="J606" s="48"/>
      <c r="K606" s="21" t="str">
        <f t="shared" si="13"/>
        <v/>
      </c>
      <c r="L606" s="21" t="str">
        <f t="shared" si="3"/>
        <v/>
      </c>
      <c r="M606" s="21" t="str">
        <f t="array" ref="M606">IF(H606="","",SUMif(year(N$2:BO$2),M$2,N606:BO606))</f>
        <v/>
      </c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</row>
    <row r="607">
      <c r="A607" s="16" t="str">
        <f t="shared" si="14"/>
        <v/>
      </c>
      <c r="B607" s="16" t="str">
        <f t="shared" si="15"/>
        <v/>
      </c>
      <c r="C607" s="35" t="str">
        <f t="shared" si="16"/>
        <v/>
      </c>
      <c r="D607" s="35" t="str">
        <f t="shared" si="17"/>
        <v/>
      </c>
      <c r="E607" s="35" t="str">
        <f t="shared" si="18"/>
        <v/>
      </c>
      <c r="F607" s="35" t="str">
        <f t="shared" si="19"/>
        <v/>
      </c>
      <c r="G607" s="35" t="str">
        <f t="shared" si="20"/>
        <v/>
      </c>
      <c r="H607" s="25"/>
      <c r="I607" s="47" t="str">
        <f t="shared" si="21"/>
        <v/>
      </c>
      <c r="J607" s="48"/>
      <c r="K607" s="21" t="str">
        <f t="shared" si="13"/>
        <v/>
      </c>
      <c r="L607" s="21" t="str">
        <f t="shared" si="3"/>
        <v/>
      </c>
      <c r="M607" s="21" t="str">
        <f t="array" ref="M607">IF(H607="","",SUMif(year(N$2:BO$2),M$2,N607:BO607))</f>
        <v/>
      </c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</row>
    <row r="608">
      <c r="A608" s="16" t="str">
        <f t="shared" si="14"/>
        <v/>
      </c>
      <c r="B608" s="16" t="str">
        <f t="shared" si="15"/>
        <v/>
      </c>
      <c r="C608" s="35" t="str">
        <f t="shared" si="16"/>
        <v/>
      </c>
      <c r="D608" s="35" t="str">
        <f t="shared" si="17"/>
        <v/>
      </c>
      <c r="E608" s="35" t="str">
        <f t="shared" si="18"/>
        <v/>
      </c>
      <c r="F608" s="35" t="str">
        <f t="shared" si="19"/>
        <v/>
      </c>
      <c r="G608" s="35" t="str">
        <f t="shared" si="20"/>
        <v/>
      </c>
      <c r="H608" s="25"/>
      <c r="I608" s="47" t="str">
        <f t="shared" si="21"/>
        <v/>
      </c>
      <c r="J608" s="48"/>
      <c r="K608" s="21" t="str">
        <f t="shared" si="13"/>
        <v/>
      </c>
      <c r="L608" s="21" t="str">
        <f t="shared" si="3"/>
        <v/>
      </c>
      <c r="M608" s="21" t="str">
        <f t="array" ref="M608">IF(H608="","",SUMif(year(N$2:BO$2),M$2,N608:BO608))</f>
        <v/>
      </c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</row>
    <row r="609">
      <c r="A609" s="16" t="str">
        <f t="shared" si="14"/>
        <v/>
      </c>
      <c r="B609" s="16" t="str">
        <f t="shared" si="15"/>
        <v/>
      </c>
      <c r="C609" s="35" t="str">
        <f t="shared" si="16"/>
        <v/>
      </c>
      <c r="D609" s="35" t="str">
        <f t="shared" si="17"/>
        <v/>
      </c>
      <c r="E609" s="35" t="str">
        <f t="shared" si="18"/>
        <v/>
      </c>
      <c r="F609" s="35" t="str">
        <f t="shared" si="19"/>
        <v/>
      </c>
      <c r="G609" s="35" t="str">
        <f t="shared" si="20"/>
        <v/>
      </c>
      <c r="H609" s="25"/>
      <c r="I609" s="47" t="str">
        <f t="shared" si="21"/>
        <v/>
      </c>
      <c r="J609" s="48"/>
      <c r="K609" s="21" t="str">
        <f t="shared" si="13"/>
        <v/>
      </c>
      <c r="L609" s="21" t="str">
        <f t="shared" si="3"/>
        <v/>
      </c>
      <c r="M609" s="21" t="str">
        <f t="array" ref="M609">IF(H609="","",SUMif(year(N$2:BO$2),M$2,N609:BO609))</f>
        <v/>
      </c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</row>
    <row r="610">
      <c r="A610" s="16" t="str">
        <f t="shared" si="14"/>
        <v/>
      </c>
      <c r="B610" s="16" t="str">
        <f t="shared" si="15"/>
        <v/>
      </c>
      <c r="C610" s="35" t="str">
        <f t="shared" si="16"/>
        <v/>
      </c>
      <c r="D610" s="35" t="str">
        <f t="shared" si="17"/>
        <v/>
      </c>
      <c r="E610" s="35" t="str">
        <f t="shared" si="18"/>
        <v/>
      </c>
      <c r="F610" s="35" t="str">
        <f t="shared" si="19"/>
        <v/>
      </c>
      <c r="G610" s="35" t="str">
        <f t="shared" si="20"/>
        <v/>
      </c>
      <c r="H610" s="25"/>
      <c r="I610" s="47" t="str">
        <f t="shared" si="21"/>
        <v/>
      </c>
      <c r="J610" s="48"/>
      <c r="K610" s="21" t="str">
        <f t="shared" si="13"/>
        <v/>
      </c>
      <c r="L610" s="21" t="str">
        <f t="shared" si="3"/>
        <v/>
      </c>
      <c r="M610" s="21" t="str">
        <f t="array" ref="M610">IF(H610="","",SUMif(year(N$2:BO$2),M$2,N610:BO610))</f>
        <v/>
      </c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</row>
    <row r="611">
      <c r="A611" s="16" t="str">
        <f t="shared" si="14"/>
        <v/>
      </c>
      <c r="B611" s="16" t="str">
        <f t="shared" si="15"/>
        <v/>
      </c>
      <c r="C611" s="35" t="str">
        <f t="shared" si="16"/>
        <v/>
      </c>
      <c r="D611" s="35" t="str">
        <f t="shared" si="17"/>
        <v/>
      </c>
      <c r="E611" s="35" t="str">
        <f t="shared" si="18"/>
        <v/>
      </c>
      <c r="F611" s="35" t="str">
        <f t="shared" si="19"/>
        <v/>
      </c>
      <c r="G611" s="35" t="str">
        <f t="shared" si="20"/>
        <v/>
      </c>
      <c r="H611" s="25"/>
      <c r="I611" s="47" t="str">
        <f t="shared" si="21"/>
        <v/>
      </c>
      <c r="J611" s="48"/>
      <c r="K611" s="21" t="str">
        <f t="shared" si="13"/>
        <v/>
      </c>
      <c r="L611" s="21" t="str">
        <f t="shared" si="3"/>
        <v/>
      </c>
      <c r="M611" s="21" t="str">
        <f t="array" ref="M611">IF(H611="","",SUMif(year(N$2:BO$2),M$2,N611:BO611))</f>
        <v/>
      </c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</row>
    <row r="612">
      <c r="A612" s="16" t="str">
        <f t="shared" si="14"/>
        <v/>
      </c>
      <c r="B612" s="16" t="str">
        <f t="shared" si="15"/>
        <v/>
      </c>
      <c r="C612" s="35" t="str">
        <f t="shared" si="16"/>
        <v/>
      </c>
      <c r="D612" s="35" t="str">
        <f t="shared" si="17"/>
        <v/>
      </c>
      <c r="E612" s="35" t="str">
        <f t="shared" si="18"/>
        <v/>
      </c>
      <c r="F612" s="35" t="str">
        <f t="shared" si="19"/>
        <v/>
      </c>
      <c r="G612" s="35" t="str">
        <f t="shared" si="20"/>
        <v/>
      </c>
      <c r="H612" s="25"/>
      <c r="I612" s="47" t="str">
        <f t="shared" si="21"/>
        <v/>
      </c>
      <c r="J612" s="48"/>
      <c r="K612" s="21" t="str">
        <f t="shared" si="13"/>
        <v/>
      </c>
      <c r="L612" s="21" t="str">
        <f t="shared" si="3"/>
        <v/>
      </c>
      <c r="M612" s="21" t="str">
        <f t="array" ref="M612">IF(H612="","",SUMif(year(N$2:BO$2),M$2,N612:BO612))</f>
        <v/>
      </c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</row>
    <row r="613">
      <c r="A613" s="16" t="str">
        <f t="shared" si="14"/>
        <v/>
      </c>
      <c r="B613" s="16" t="str">
        <f t="shared" si="15"/>
        <v/>
      </c>
      <c r="C613" s="35" t="str">
        <f t="shared" si="16"/>
        <v/>
      </c>
      <c r="D613" s="35" t="str">
        <f t="shared" si="17"/>
        <v/>
      </c>
      <c r="E613" s="35" t="str">
        <f t="shared" si="18"/>
        <v/>
      </c>
      <c r="F613" s="35" t="str">
        <f t="shared" si="19"/>
        <v/>
      </c>
      <c r="G613" s="35" t="str">
        <f t="shared" si="20"/>
        <v/>
      </c>
      <c r="H613" s="25"/>
      <c r="I613" s="47" t="str">
        <f t="shared" si="21"/>
        <v/>
      </c>
      <c r="J613" s="48"/>
      <c r="K613" s="21" t="str">
        <f t="shared" si="13"/>
        <v/>
      </c>
      <c r="L613" s="21" t="str">
        <f t="shared" si="3"/>
        <v/>
      </c>
      <c r="M613" s="21" t="str">
        <f t="array" ref="M613">IF(H613="","",SUMif(year(N$2:BO$2),M$2,N613:BO613))</f>
        <v/>
      </c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</row>
    <row r="614">
      <c r="A614" s="16" t="str">
        <f t="shared" si="14"/>
        <v/>
      </c>
      <c r="B614" s="16" t="str">
        <f t="shared" si="15"/>
        <v/>
      </c>
      <c r="C614" s="35" t="str">
        <f t="shared" si="16"/>
        <v/>
      </c>
      <c r="D614" s="35" t="str">
        <f t="shared" si="17"/>
        <v/>
      </c>
      <c r="E614" s="35" t="str">
        <f t="shared" si="18"/>
        <v/>
      </c>
      <c r="F614" s="35" t="str">
        <f t="shared" si="19"/>
        <v/>
      </c>
      <c r="G614" s="35" t="str">
        <f t="shared" si="20"/>
        <v/>
      </c>
      <c r="H614" s="25"/>
      <c r="I614" s="47" t="str">
        <f t="shared" si="21"/>
        <v/>
      </c>
      <c r="J614" s="48"/>
      <c r="K614" s="21" t="str">
        <f t="shared" si="13"/>
        <v/>
      </c>
      <c r="L614" s="21" t="str">
        <f t="shared" si="3"/>
        <v/>
      </c>
      <c r="M614" s="21" t="str">
        <f t="array" ref="M614">IF(H614="","",SUMif(year(N$2:BO$2),M$2,N614:BO614))</f>
        <v/>
      </c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</row>
    <row r="615">
      <c r="A615" s="16" t="str">
        <f t="shared" si="14"/>
        <v/>
      </c>
      <c r="B615" s="16" t="str">
        <f t="shared" si="15"/>
        <v/>
      </c>
      <c r="C615" s="35" t="str">
        <f t="shared" si="16"/>
        <v/>
      </c>
      <c r="D615" s="35" t="str">
        <f t="shared" si="17"/>
        <v/>
      </c>
      <c r="E615" s="35" t="str">
        <f t="shared" si="18"/>
        <v/>
      </c>
      <c r="F615" s="35" t="str">
        <f t="shared" si="19"/>
        <v/>
      </c>
      <c r="G615" s="35" t="str">
        <f t="shared" si="20"/>
        <v/>
      </c>
      <c r="H615" s="25"/>
      <c r="I615" s="47" t="str">
        <f t="shared" si="21"/>
        <v/>
      </c>
      <c r="J615" s="48"/>
      <c r="K615" s="21" t="str">
        <f t="shared" si="13"/>
        <v/>
      </c>
      <c r="L615" s="21" t="str">
        <f t="shared" si="3"/>
        <v/>
      </c>
      <c r="M615" s="21" t="str">
        <f t="array" ref="M615">IF(H615="","",SUMif(year(N$2:BO$2),M$2,N615:BO615))</f>
        <v/>
      </c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</row>
    <row r="616">
      <c r="A616" s="16" t="str">
        <f t="shared" si="14"/>
        <v/>
      </c>
      <c r="B616" s="16" t="str">
        <f t="shared" si="15"/>
        <v/>
      </c>
      <c r="C616" s="35" t="str">
        <f t="shared" si="16"/>
        <v/>
      </c>
      <c r="D616" s="35" t="str">
        <f t="shared" si="17"/>
        <v/>
      </c>
      <c r="E616" s="35" t="str">
        <f t="shared" si="18"/>
        <v/>
      </c>
      <c r="F616" s="35" t="str">
        <f t="shared" si="19"/>
        <v/>
      </c>
      <c r="G616" s="35" t="str">
        <f t="shared" si="20"/>
        <v/>
      </c>
      <c r="H616" s="25"/>
      <c r="I616" s="47" t="str">
        <f t="shared" si="21"/>
        <v/>
      </c>
      <c r="J616" s="48"/>
      <c r="K616" s="21" t="str">
        <f t="shared" si="13"/>
        <v/>
      </c>
      <c r="L616" s="21" t="str">
        <f t="shared" si="3"/>
        <v/>
      </c>
      <c r="M616" s="21" t="str">
        <f t="array" ref="M616">IF(H616="","",SUMif(year(N$2:BO$2),M$2,N616:BO616))</f>
        <v/>
      </c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</row>
    <row r="617">
      <c r="A617" s="16" t="str">
        <f t="shared" si="14"/>
        <v/>
      </c>
      <c r="B617" s="16" t="str">
        <f t="shared" si="15"/>
        <v/>
      </c>
      <c r="C617" s="35" t="str">
        <f t="shared" si="16"/>
        <v/>
      </c>
      <c r="D617" s="35" t="str">
        <f t="shared" si="17"/>
        <v/>
      </c>
      <c r="E617" s="35" t="str">
        <f t="shared" si="18"/>
        <v/>
      </c>
      <c r="F617" s="35" t="str">
        <f t="shared" si="19"/>
        <v/>
      </c>
      <c r="G617" s="35" t="str">
        <f t="shared" si="20"/>
        <v/>
      </c>
      <c r="H617" s="25"/>
      <c r="I617" s="47" t="str">
        <f t="shared" si="21"/>
        <v/>
      </c>
      <c r="J617" s="48"/>
      <c r="K617" s="21" t="str">
        <f t="shared" si="13"/>
        <v/>
      </c>
      <c r="L617" s="21" t="str">
        <f t="shared" si="3"/>
        <v/>
      </c>
      <c r="M617" s="21" t="str">
        <f t="array" ref="M617">IF(H617="","",SUMif(year(N$2:BO$2),M$2,N617:BO617))</f>
        <v/>
      </c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</row>
    <row r="618">
      <c r="A618" s="16" t="str">
        <f t="shared" si="14"/>
        <v/>
      </c>
      <c r="B618" s="16" t="str">
        <f t="shared" si="15"/>
        <v/>
      </c>
      <c r="C618" s="35" t="str">
        <f t="shared" si="16"/>
        <v/>
      </c>
      <c r="D618" s="35" t="str">
        <f t="shared" si="17"/>
        <v/>
      </c>
      <c r="E618" s="35" t="str">
        <f t="shared" si="18"/>
        <v/>
      </c>
      <c r="F618" s="35" t="str">
        <f t="shared" si="19"/>
        <v/>
      </c>
      <c r="G618" s="35" t="str">
        <f t="shared" si="20"/>
        <v/>
      </c>
      <c r="H618" s="25"/>
      <c r="I618" s="47" t="str">
        <f t="shared" si="21"/>
        <v/>
      </c>
      <c r="J618" s="48"/>
      <c r="K618" s="21" t="str">
        <f t="shared" si="13"/>
        <v/>
      </c>
      <c r="L618" s="21" t="str">
        <f t="shared" si="3"/>
        <v/>
      </c>
      <c r="M618" s="21" t="str">
        <f t="array" ref="M618">IF(H618="","",SUMif(year(N$2:BO$2),M$2,N618:BO618))</f>
        <v/>
      </c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</row>
    <row r="619">
      <c r="A619" s="16" t="str">
        <f t="shared" si="14"/>
        <v/>
      </c>
      <c r="B619" s="16" t="str">
        <f t="shared" si="15"/>
        <v/>
      </c>
      <c r="C619" s="35" t="str">
        <f t="shared" si="16"/>
        <v/>
      </c>
      <c r="D619" s="35" t="str">
        <f t="shared" si="17"/>
        <v/>
      </c>
      <c r="E619" s="35" t="str">
        <f t="shared" si="18"/>
        <v/>
      </c>
      <c r="F619" s="35" t="str">
        <f t="shared" si="19"/>
        <v/>
      </c>
      <c r="G619" s="35" t="str">
        <f t="shared" si="20"/>
        <v/>
      </c>
      <c r="H619" s="25"/>
      <c r="I619" s="47" t="str">
        <f t="shared" si="21"/>
        <v/>
      </c>
      <c r="J619" s="48"/>
      <c r="K619" s="21" t="str">
        <f t="shared" si="13"/>
        <v/>
      </c>
      <c r="L619" s="21" t="str">
        <f t="shared" si="3"/>
        <v/>
      </c>
      <c r="M619" s="21" t="str">
        <f t="array" ref="M619">IF(H619="","",SUMif(year(N$2:BO$2),M$2,N619:BO619))</f>
        <v/>
      </c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</row>
    <row r="620">
      <c r="A620" s="16" t="str">
        <f t="shared" si="14"/>
        <v/>
      </c>
      <c r="B620" s="16" t="str">
        <f t="shared" si="15"/>
        <v/>
      </c>
      <c r="C620" s="35" t="str">
        <f t="shared" si="16"/>
        <v/>
      </c>
      <c r="D620" s="35" t="str">
        <f t="shared" si="17"/>
        <v/>
      </c>
      <c r="E620" s="35" t="str">
        <f t="shared" si="18"/>
        <v/>
      </c>
      <c r="F620" s="35" t="str">
        <f t="shared" si="19"/>
        <v/>
      </c>
      <c r="G620" s="35" t="str">
        <f t="shared" si="20"/>
        <v/>
      </c>
      <c r="H620" s="25"/>
      <c r="I620" s="47" t="str">
        <f t="shared" si="21"/>
        <v/>
      </c>
      <c r="J620" s="48"/>
      <c r="K620" s="21" t="str">
        <f t="shared" si="13"/>
        <v/>
      </c>
      <c r="L620" s="21" t="str">
        <f t="shared" si="3"/>
        <v/>
      </c>
      <c r="M620" s="21" t="str">
        <f t="array" ref="M620">IF(H620="","",SUMif(year(N$2:BO$2),M$2,N620:BO620))</f>
        <v/>
      </c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</row>
    <row r="621">
      <c r="A621" s="16" t="str">
        <f t="shared" si="14"/>
        <v/>
      </c>
      <c r="B621" s="16" t="str">
        <f t="shared" si="15"/>
        <v/>
      </c>
      <c r="C621" s="35" t="str">
        <f t="shared" si="16"/>
        <v/>
      </c>
      <c r="D621" s="35" t="str">
        <f t="shared" si="17"/>
        <v/>
      </c>
      <c r="E621" s="35" t="str">
        <f t="shared" si="18"/>
        <v/>
      </c>
      <c r="F621" s="35" t="str">
        <f t="shared" si="19"/>
        <v/>
      </c>
      <c r="G621" s="35" t="str">
        <f t="shared" si="20"/>
        <v/>
      </c>
      <c r="H621" s="25"/>
      <c r="I621" s="47" t="str">
        <f t="shared" si="21"/>
        <v/>
      </c>
      <c r="J621" s="48"/>
      <c r="K621" s="21" t="str">
        <f t="shared" si="13"/>
        <v/>
      </c>
      <c r="L621" s="21" t="str">
        <f t="shared" si="3"/>
        <v/>
      </c>
      <c r="M621" s="21" t="str">
        <f t="array" ref="M621">IF(H621="","",SUMif(year(N$2:BO$2),M$2,N621:BO621))</f>
        <v/>
      </c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</row>
    <row r="622">
      <c r="A622" s="16" t="str">
        <f t="shared" si="14"/>
        <v/>
      </c>
      <c r="B622" s="16" t="str">
        <f t="shared" si="15"/>
        <v/>
      </c>
      <c r="C622" s="35" t="str">
        <f t="shared" si="16"/>
        <v/>
      </c>
      <c r="D622" s="35" t="str">
        <f t="shared" si="17"/>
        <v/>
      </c>
      <c r="E622" s="35" t="str">
        <f t="shared" si="18"/>
        <v/>
      </c>
      <c r="F622" s="35" t="str">
        <f t="shared" si="19"/>
        <v/>
      </c>
      <c r="G622" s="35" t="str">
        <f t="shared" si="20"/>
        <v/>
      </c>
      <c r="H622" s="25"/>
      <c r="I622" s="47" t="str">
        <f t="shared" si="21"/>
        <v/>
      </c>
      <c r="J622" s="48"/>
      <c r="K622" s="21" t="str">
        <f t="shared" si="13"/>
        <v/>
      </c>
      <c r="L622" s="21" t="str">
        <f t="shared" si="3"/>
        <v/>
      </c>
      <c r="M622" s="21" t="str">
        <f t="array" ref="M622">IF(H622="","",SUMif(year(N$2:BO$2),M$2,N622:BO622))</f>
        <v/>
      </c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</row>
    <row r="623">
      <c r="A623" s="16" t="str">
        <f t="shared" si="14"/>
        <v/>
      </c>
      <c r="B623" s="16" t="str">
        <f t="shared" si="15"/>
        <v/>
      </c>
      <c r="C623" s="35" t="str">
        <f t="shared" si="16"/>
        <v/>
      </c>
      <c r="D623" s="35" t="str">
        <f t="shared" si="17"/>
        <v/>
      </c>
      <c r="E623" s="35" t="str">
        <f t="shared" si="18"/>
        <v/>
      </c>
      <c r="F623" s="35" t="str">
        <f t="shared" si="19"/>
        <v/>
      </c>
      <c r="G623" s="35" t="str">
        <f t="shared" si="20"/>
        <v/>
      </c>
      <c r="H623" s="25"/>
      <c r="I623" s="47" t="str">
        <f t="shared" si="21"/>
        <v/>
      </c>
      <c r="J623" s="48"/>
      <c r="K623" s="21" t="str">
        <f t="shared" si="13"/>
        <v/>
      </c>
      <c r="L623" s="21" t="str">
        <f t="shared" si="3"/>
        <v/>
      </c>
      <c r="M623" s="21" t="str">
        <f t="array" ref="M623">IF(H623="","",SUMif(year(N$2:BO$2),M$2,N623:BO623))</f>
        <v/>
      </c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</row>
    <row r="624">
      <c r="A624" s="16" t="str">
        <f t="shared" si="14"/>
        <v/>
      </c>
      <c r="B624" s="16" t="str">
        <f t="shared" si="15"/>
        <v/>
      </c>
      <c r="C624" s="35" t="str">
        <f t="shared" si="16"/>
        <v/>
      </c>
      <c r="D624" s="35" t="str">
        <f t="shared" si="17"/>
        <v/>
      </c>
      <c r="E624" s="35" t="str">
        <f t="shared" si="18"/>
        <v/>
      </c>
      <c r="F624" s="35" t="str">
        <f t="shared" si="19"/>
        <v/>
      </c>
      <c r="G624" s="35" t="str">
        <f t="shared" si="20"/>
        <v/>
      </c>
      <c r="H624" s="25"/>
      <c r="I624" s="47" t="str">
        <f t="shared" si="21"/>
        <v/>
      </c>
      <c r="J624" s="48"/>
      <c r="K624" s="21" t="str">
        <f t="shared" si="13"/>
        <v/>
      </c>
      <c r="L624" s="21" t="str">
        <f t="shared" si="3"/>
        <v/>
      </c>
      <c r="M624" s="21" t="str">
        <f t="array" ref="M624">IF(H624="","",SUMif(year(N$2:BO$2),M$2,N624:BO624))</f>
        <v/>
      </c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</row>
    <row r="625">
      <c r="A625" s="16" t="str">
        <f t="shared" si="14"/>
        <v/>
      </c>
      <c r="B625" s="16" t="str">
        <f t="shared" si="15"/>
        <v/>
      </c>
      <c r="C625" s="35" t="str">
        <f t="shared" si="16"/>
        <v/>
      </c>
      <c r="D625" s="35" t="str">
        <f t="shared" si="17"/>
        <v/>
      </c>
      <c r="E625" s="35" t="str">
        <f t="shared" si="18"/>
        <v/>
      </c>
      <c r="F625" s="35" t="str">
        <f t="shared" si="19"/>
        <v/>
      </c>
      <c r="G625" s="35" t="str">
        <f t="shared" si="20"/>
        <v/>
      </c>
      <c r="H625" s="25"/>
      <c r="I625" s="47" t="str">
        <f t="shared" si="21"/>
        <v/>
      </c>
      <c r="J625" s="48"/>
      <c r="K625" s="21" t="str">
        <f t="shared" si="13"/>
        <v/>
      </c>
      <c r="L625" s="21" t="str">
        <f t="shared" si="3"/>
        <v/>
      </c>
      <c r="M625" s="21" t="str">
        <f t="array" ref="M625">IF(H625="","",SUMif(year(N$2:BO$2),M$2,N625:BO625))</f>
        <v/>
      </c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</row>
    <row r="626">
      <c r="A626" s="16" t="str">
        <f t="shared" si="14"/>
        <v/>
      </c>
      <c r="B626" s="16" t="str">
        <f t="shared" si="15"/>
        <v/>
      </c>
      <c r="C626" s="35" t="str">
        <f t="shared" si="16"/>
        <v/>
      </c>
      <c r="D626" s="35" t="str">
        <f t="shared" si="17"/>
        <v/>
      </c>
      <c r="E626" s="35" t="str">
        <f t="shared" si="18"/>
        <v/>
      </c>
      <c r="F626" s="35" t="str">
        <f t="shared" si="19"/>
        <v/>
      </c>
      <c r="G626" s="35" t="str">
        <f t="shared" si="20"/>
        <v/>
      </c>
      <c r="H626" s="25"/>
      <c r="I626" s="47" t="str">
        <f t="shared" si="21"/>
        <v/>
      </c>
      <c r="J626" s="48"/>
      <c r="K626" s="21" t="str">
        <f t="shared" si="13"/>
        <v/>
      </c>
      <c r="L626" s="21" t="str">
        <f t="shared" si="3"/>
        <v/>
      </c>
      <c r="M626" s="21" t="str">
        <f t="array" ref="M626">IF(H626="","",SUMif(year(N$2:BO$2),M$2,N626:BO626))</f>
        <v/>
      </c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</row>
    <row r="627">
      <c r="A627" s="16" t="str">
        <f t="shared" si="14"/>
        <v/>
      </c>
      <c r="B627" s="16" t="str">
        <f t="shared" si="15"/>
        <v/>
      </c>
      <c r="C627" s="35" t="str">
        <f t="shared" si="16"/>
        <v/>
      </c>
      <c r="D627" s="35" t="str">
        <f t="shared" si="17"/>
        <v/>
      </c>
      <c r="E627" s="35" t="str">
        <f t="shared" si="18"/>
        <v/>
      </c>
      <c r="F627" s="35" t="str">
        <f t="shared" si="19"/>
        <v/>
      </c>
      <c r="G627" s="35" t="str">
        <f t="shared" si="20"/>
        <v/>
      </c>
      <c r="H627" s="25"/>
      <c r="I627" s="47" t="str">
        <f t="shared" si="21"/>
        <v/>
      </c>
      <c r="J627" s="48"/>
      <c r="K627" s="21" t="str">
        <f t="shared" si="13"/>
        <v/>
      </c>
      <c r="L627" s="21" t="str">
        <f t="shared" si="3"/>
        <v/>
      </c>
      <c r="M627" s="21" t="str">
        <f t="array" ref="M627">IF(H627="","",SUMif(year(N$2:BO$2),M$2,N627:BO627))</f>
        <v/>
      </c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</row>
    <row r="628">
      <c r="A628" s="16" t="str">
        <f t="shared" si="14"/>
        <v/>
      </c>
      <c r="B628" s="16" t="str">
        <f t="shared" si="15"/>
        <v/>
      </c>
      <c r="C628" s="35" t="str">
        <f t="shared" si="16"/>
        <v/>
      </c>
      <c r="D628" s="35" t="str">
        <f t="shared" si="17"/>
        <v/>
      </c>
      <c r="E628" s="35" t="str">
        <f t="shared" si="18"/>
        <v/>
      </c>
      <c r="F628" s="35" t="str">
        <f t="shared" si="19"/>
        <v/>
      </c>
      <c r="G628" s="35" t="str">
        <f t="shared" si="20"/>
        <v/>
      </c>
      <c r="H628" s="25"/>
      <c r="I628" s="47" t="str">
        <f t="shared" si="21"/>
        <v/>
      </c>
      <c r="J628" s="48"/>
      <c r="K628" s="21" t="str">
        <f t="shared" si="13"/>
        <v/>
      </c>
      <c r="L628" s="21" t="str">
        <f t="shared" si="3"/>
        <v/>
      </c>
      <c r="M628" s="21" t="str">
        <f t="array" ref="M628">IF(H628="","",SUMif(year(N$2:BO$2),M$2,N628:BO628))</f>
        <v/>
      </c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</row>
    <row r="629">
      <c r="A629" s="16" t="str">
        <f t="shared" si="14"/>
        <v/>
      </c>
      <c r="B629" s="16" t="str">
        <f t="shared" si="15"/>
        <v/>
      </c>
      <c r="C629" s="35" t="str">
        <f t="shared" si="16"/>
        <v/>
      </c>
      <c r="D629" s="35" t="str">
        <f t="shared" si="17"/>
        <v/>
      </c>
      <c r="E629" s="35" t="str">
        <f t="shared" si="18"/>
        <v/>
      </c>
      <c r="F629" s="35" t="str">
        <f t="shared" si="19"/>
        <v/>
      </c>
      <c r="G629" s="35" t="str">
        <f t="shared" si="20"/>
        <v/>
      </c>
      <c r="H629" s="25"/>
      <c r="I629" s="47" t="str">
        <f t="shared" si="21"/>
        <v/>
      </c>
      <c r="J629" s="48"/>
      <c r="K629" s="21" t="str">
        <f t="shared" si="13"/>
        <v/>
      </c>
      <c r="L629" s="21" t="str">
        <f t="shared" si="3"/>
        <v/>
      </c>
      <c r="M629" s="21" t="str">
        <f t="array" ref="M629">IF(H629="","",SUMif(year(N$2:BO$2),M$2,N629:BO629))</f>
        <v/>
      </c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</row>
    <row r="630">
      <c r="A630" s="16" t="str">
        <f t="shared" si="14"/>
        <v/>
      </c>
      <c r="B630" s="16" t="str">
        <f t="shared" si="15"/>
        <v/>
      </c>
      <c r="C630" s="35" t="str">
        <f t="shared" si="16"/>
        <v/>
      </c>
      <c r="D630" s="35" t="str">
        <f t="shared" si="17"/>
        <v/>
      </c>
      <c r="E630" s="35" t="str">
        <f t="shared" si="18"/>
        <v/>
      </c>
      <c r="F630" s="35" t="str">
        <f t="shared" si="19"/>
        <v/>
      </c>
      <c r="G630" s="35" t="str">
        <f t="shared" si="20"/>
        <v/>
      </c>
      <c r="H630" s="25"/>
      <c r="I630" s="47" t="str">
        <f t="shared" si="21"/>
        <v/>
      </c>
      <c r="J630" s="48"/>
      <c r="K630" s="21" t="str">
        <f t="shared" si="13"/>
        <v/>
      </c>
      <c r="L630" s="21" t="str">
        <f t="shared" si="3"/>
        <v/>
      </c>
      <c r="M630" s="21" t="str">
        <f t="array" ref="M630">IF(H630="","",SUMif(year(N$2:BO$2),M$2,N630:BO630))</f>
        <v/>
      </c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</row>
    <row r="631">
      <c r="A631" s="16" t="str">
        <f t="shared" si="14"/>
        <v/>
      </c>
      <c r="B631" s="16" t="str">
        <f t="shared" si="15"/>
        <v/>
      </c>
      <c r="C631" s="35" t="str">
        <f t="shared" si="16"/>
        <v/>
      </c>
      <c r="D631" s="35" t="str">
        <f t="shared" si="17"/>
        <v/>
      </c>
      <c r="E631" s="35" t="str">
        <f t="shared" si="18"/>
        <v/>
      </c>
      <c r="F631" s="35" t="str">
        <f t="shared" si="19"/>
        <v/>
      </c>
      <c r="G631" s="35" t="str">
        <f t="shared" si="20"/>
        <v/>
      </c>
      <c r="H631" s="25"/>
      <c r="I631" s="47" t="str">
        <f t="shared" si="21"/>
        <v/>
      </c>
      <c r="J631" s="48"/>
      <c r="K631" s="21" t="str">
        <f t="shared" si="13"/>
        <v/>
      </c>
      <c r="L631" s="21" t="str">
        <f t="shared" si="3"/>
        <v/>
      </c>
      <c r="M631" s="21" t="str">
        <f t="array" ref="M631">IF(H631="","",SUMif(year(N$2:BO$2),M$2,N631:BO631))</f>
        <v/>
      </c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</row>
    <row r="632">
      <c r="A632" s="16" t="str">
        <f t="shared" si="14"/>
        <v/>
      </c>
      <c r="B632" s="16" t="str">
        <f t="shared" si="15"/>
        <v/>
      </c>
      <c r="C632" s="35" t="str">
        <f t="shared" si="16"/>
        <v/>
      </c>
      <c r="D632" s="35" t="str">
        <f t="shared" si="17"/>
        <v/>
      </c>
      <c r="E632" s="35" t="str">
        <f t="shared" si="18"/>
        <v/>
      </c>
      <c r="F632" s="35" t="str">
        <f t="shared" si="19"/>
        <v/>
      </c>
      <c r="G632" s="35" t="str">
        <f t="shared" si="20"/>
        <v/>
      </c>
      <c r="H632" s="25"/>
      <c r="I632" s="47" t="str">
        <f t="shared" si="21"/>
        <v/>
      </c>
      <c r="J632" s="48"/>
      <c r="K632" s="21" t="str">
        <f t="shared" si="13"/>
        <v/>
      </c>
      <c r="L632" s="21" t="str">
        <f t="shared" si="3"/>
        <v/>
      </c>
      <c r="M632" s="21" t="str">
        <f t="array" ref="M632">IF(H632="","",SUMif(year(N$2:BO$2),M$2,N632:BO632))</f>
        <v/>
      </c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</row>
    <row r="633">
      <c r="A633" s="16" t="str">
        <f t="shared" si="14"/>
        <v/>
      </c>
      <c r="B633" s="16" t="str">
        <f t="shared" si="15"/>
        <v/>
      </c>
      <c r="C633" s="35" t="str">
        <f t="shared" si="16"/>
        <v/>
      </c>
      <c r="D633" s="35" t="str">
        <f t="shared" si="17"/>
        <v/>
      </c>
      <c r="E633" s="35" t="str">
        <f t="shared" si="18"/>
        <v/>
      </c>
      <c r="F633" s="35" t="str">
        <f t="shared" si="19"/>
        <v/>
      </c>
      <c r="G633" s="35" t="str">
        <f t="shared" si="20"/>
        <v/>
      </c>
      <c r="H633" s="25"/>
      <c r="I633" s="47" t="str">
        <f t="shared" si="21"/>
        <v/>
      </c>
      <c r="J633" s="48"/>
      <c r="K633" s="21" t="str">
        <f t="shared" si="13"/>
        <v/>
      </c>
      <c r="L633" s="21" t="str">
        <f t="shared" si="3"/>
        <v/>
      </c>
      <c r="M633" s="21" t="str">
        <f t="array" ref="M633">IF(H633="","",SUMif(year(N$2:BO$2),M$2,N633:BO633))</f>
        <v/>
      </c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</row>
    <row r="634">
      <c r="A634" s="16" t="str">
        <f t="shared" si="14"/>
        <v/>
      </c>
      <c r="B634" s="16" t="str">
        <f t="shared" si="15"/>
        <v/>
      </c>
      <c r="C634" s="35" t="str">
        <f t="shared" si="16"/>
        <v/>
      </c>
      <c r="D634" s="35" t="str">
        <f t="shared" si="17"/>
        <v/>
      </c>
      <c r="E634" s="35" t="str">
        <f t="shared" si="18"/>
        <v/>
      </c>
      <c r="F634" s="35" t="str">
        <f t="shared" si="19"/>
        <v/>
      </c>
      <c r="G634" s="35" t="str">
        <f t="shared" si="20"/>
        <v/>
      </c>
      <c r="H634" s="25"/>
      <c r="I634" s="47" t="str">
        <f t="shared" si="21"/>
        <v/>
      </c>
      <c r="J634" s="48"/>
      <c r="K634" s="21" t="str">
        <f t="shared" si="13"/>
        <v/>
      </c>
      <c r="L634" s="21" t="str">
        <f t="shared" si="3"/>
        <v/>
      </c>
      <c r="M634" s="21" t="str">
        <f t="array" ref="M634">IF(H634="","",SUMif(year(N$2:BO$2),M$2,N634:BO634))</f>
        <v/>
      </c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</row>
    <row r="635">
      <c r="A635" s="16" t="str">
        <f t="shared" si="14"/>
        <v/>
      </c>
      <c r="B635" s="16" t="str">
        <f t="shared" si="15"/>
        <v/>
      </c>
      <c r="C635" s="35" t="str">
        <f t="shared" si="16"/>
        <v/>
      </c>
      <c r="D635" s="35" t="str">
        <f t="shared" si="17"/>
        <v/>
      </c>
      <c r="E635" s="35" t="str">
        <f t="shared" si="18"/>
        <v/>
      </c>
      <c r="F635" s="35" t="str">
        <f t="shared" si="19"/>
        <v/>
      </c>
      <c r="G635" s="35" t="str">
        <f t="shared" si="20"/>
        <v/>
      </c>
      <c r="H635" s="25"/>
      <c r="I635" s="47" t="str">
        <f t="shared" si="21"/>
        <v/>
      </c>
      <c r="J635" s="48"/>
      <c r="K635" s="21" t="str">
        <f t="shared" si="13"/>
        <v/>
      </c>
      <c r="L635" s="21" t="str">
        <f t="shared" si="3"/>
        <v/>
      </c>
      <c r="M635" s="21" t="str">
        <f t="array" ref="M635">IF(H635="","",SUMif(year(N$2:BO$2),M$2,N635:BO635))</f>
        <v/>
      </c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</row>
    <row r="636">
      <c r="A636" s="16" t="str">
        <f t="shared" si="14"/>
        <v/>
      </c>
      <c r="B636" s="16" t="str">
        <f t="shared" si="15"/>
        <v/>
      </c>
      <c r="C636" s="35" t="str">
        <f t="shared" si="16"/>
        <v/>
      </c>
      <c r="D636" s="35" t="str">
        <f t="shared" si="17"/>
        <v/>
      </c>
      <c r="E636" s="35" t="str">
        <f t="shared" si="18"/>
        <v/>
      </c>
      <c r="F636" s="35" t="str">
        <f t="shared" si="19"/>
        <v/>
      </c>
      <c r="G636" s="35" t="str">
        <f t="shared" si="20"/>
        <v/>
      </c>
      <c r="H636" s="25"/>
      <c r="I636" s="47" t="str">
        <f t="shared" si="21"/>
        <v/>
      </c>
      <c r="J636" s="48"/>
      <c r="K636" s="21" t="str">
        <f t="shared" si="13"/>
        <v/>
      </c>
      <c r="L636" s="21" t="str">
        <f t="shared" si="3"/>
        <v/>
      </c>
      <c r="M636" s="21" t="str">
        <f t="array" ref="M636">IF(H636="","",SUMif(year(N$2:BO$2),M$2,N636:BO636))</f>
        <v/>
      </c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</row>
    <row r="637">
      <c r="A637" s="16" t="str">
        <f t="shared" si="14"/>
        <v/>
      </c>
      <c r="B637" s="16" t="str">
        <f t="shared" si="15"/>
        <v/>
      </c>
      <c r="C637" s="35" t="str">
        <f t="shared" si="16"/>
        <v/>
      </c>
      <c r="D637" s="35" t="str">
        <f t="shared" si="17"/>
        <v/>
      </c>
      <c r="E637" s="35" t="str">
        <f t="shared" si="18"/>
        <v/>
      </c>
      <c r="F637" s="35" t="str">
        <f t="shared" si="19"/>
        <v/>
      </c>
      <c r="G637" s="35" t="str">
        <f t="shared" si="20"/>
        <v/>
      </c>
      <c r="H637" s="25"/>
      <c r="I637" s="47" t="str">
        <f t="shared" si="21"/>
        <v/>
      </c>
      <c r="J637" s="48"/>
      <c r="K637" s="21" t="str">
        <f t="shared" si="13"/>
        <v/>
      </c>
      <c r="L637" s="21" t="str">
        <f t="shared" si="3"/>
        <v/>
      </c>
      <c r="M637" s="21" t="str">
        <f t="array" ref="M637">IF(H637="","",SUMif(year(N$2:BO$2),M$2,N637:BO637))</f>
        <v/>
      </c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</row>
    <row r="638">
      <c r="A638" s="16" t="str">
        <f t="shared" si="14"/>
        <v/>
      </c>
      <c r="B638" s="16" t="str">
        <f t="shared" si="15"/>
        <v/>
      </c>
      <c r="C638" s="35" t="str">
        <f t="shared" si="16"/>
        <v/>
      </c>
      <c r="D638" s="35" t="str">
        <f t="shared" si="17"/>
        <v/>
      </c>
      <c r="E638" s="35" t="str">
        <f t="shared" si="18"/>
        <v/>
      </c>
      <c r="F638" s="35" t="str">
        <f t="shared" si="19"/>
        <v/>
      </c>
      <c r="G638" s="35" t="str">
        <f t="shared" si="20"/>
        <v/>
      </c>
      <c r="H638" s="25"/>
      <c r="I638" s="47" t="str">
        <f t="shared" si="21"/>
        <v/>
      </c>
      <c r="J638" s="48"/>
      <c r="K638" s="21" t="str">
        <f t="shared" si="13"/>
        <v/>
      </c>
      <c r="L638" s="21" t="str">
        <f t="shared" si="3"/>
        <v/>
      </c>
      <c r="M638" s="21" t="str">
        <f t="array" ref="M638">IF(H638="","",SUMif(year(N$2:BO$2),M$2,N638:BO638))</f>
        <v/>
      </c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</row>
    <row r="639">
      <c r="A639" s="16" t="str">
        <f t="shared" si="14"/>
        <v/>
      </c>
      <c r="B639" s="16" t="str">
        <f t="shared" si="15"/>
        <v/>
      </c>
      <c r="C639" s="35" t="str">
        <f t="shared" si="16"/>
        <v/>
      </c>
      <c r="D639" s="35" t="str">
        <f t="shared" si="17"/>
        <v/>
      </c>
      <c r="E639" s="35" t="str">
        <f t="shared" si="18"/>
        <v/>
      </c>
      <c r="F639" s="35" t="str">
        <f t="shared" si="19"/>
        <v/>
      </c>
      <c r="G639" s="35" t="str">
        <f t="shared" si="20"/>
        <v/>
      </c>
      <c r="H639" s="25"/>
      <c r="I639" s="47" t="str">
        <f t="shared" si="21"/>
        <v/>
      </c>
      <c r="J639" s="48"/>
      <c r="K639" s="21" t="str">
        <f t="shared" si="13"/>
        <v/>
      </c>
      <c r="L639" s="21" t="str">
        <f t="shared" si="3"/>
        <v/>
      </c>
      <c r="M639" s="21" t="str">
        <f t="array" ref="M639">IF(H639="","",SUMif(year(N$2:BO$2),M$2,N639:BO639))</f>
        <v/>
      </c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</row>
    <row r="640">
      <c r="A640" s="16" t="str">
        <f t="shared" si="14"/>
        <v/>
      </c>
      <c r="B640" s="16" t="str">
        <f t="shared" si="15"/>
        <v/>
      </c>
      <c r="C640" s="35" t="str">
        <f t="shared" si="16"/>
        <v/>
      </c>
      <c r="D640" s="35" t="str">
        <f t="shared" si="17"/>
        <v/>
      </c>
      <c r="E640" s="35" t="str">
        <f t="shared" si="18"/>
        <v/>
      </c>
      <c r="F640" s="35" t="str">
        <f t="shared" si="19"/>
        <v/>
      </c>
      <c r="G640" s="35" t="str">
        <f t="shared" si="20"/>
        <v/>
      </c>
      <c r="H640" s="25"/>
      <c r="I640" s="47" t="str">
        <f t="shared" si="21"/>
        <v/>
      </c>
      <c r="J640" s="48"/>
      <c r="K640" s="21" t="str">
        <f t="shared" si="13"/>
        <v/>
      </c>
      <c r="L640" s="21" t="str">
        <f t="shared" si="3"/>
        <v/>
      </c>
      <c r="M640" s="21" t="str">
        <f t="array" ref="M640">IF(H640="","",SUMif(year(N$2:BO$2),M$2,N640:BO640))</f>
        <v/>
      </c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</row>
    <row r="641">
      <c r="A641" s="16" t="str">
        <f t="shared" si="14"/>
        <v/>
      </c>
      <c r="B641" s="16" t="str">
        <f t="shared" si="15"/>
        <v/>
      </c>
      <c r="C641" s="35" t="str">
        <f t="shared" si="16"/>
        <v/>
      </c>
      <c r="D641" s="35" t="str">
        <f t="shared" si="17"/>
        <v/>
      </c>
      <c r="E641" s="35" t="str">
        <f t="shared" si="18"/>
        <v/>
      </c>
      <c r="F641" s="35" t="str">
        <f t="shared" si="19"/>
        <v/>
      </c>
      <c r="G641" s="35" t="str">
        <f t="shared" si="20"/>
        <v/>
      </c>
      <c r="H641" s="25"/>
      <c r="I641" s="47" t="str">
        <f t="shared" si="21"/>
        <v/>
      </c>
      <c r="J641" s="48"/>
      <c r="K641" s="21" t="str">
        <f t="shared" si="13"/>
        <v/>
      </c>
      <c r="L641" s="21" t="str">
        <f t="shared" si="3"/>
        <v/>
      </c>
      <c r="M641" s="21" t="str">
        <f t="array" ref="M641">IF(H641="","",SUMif(year(N$2:BO$2),M$2,N641:BO641))</f>
        <v/>
      </c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</row>
    <row r="642">
      <c r="A642" s="16" t="str">
        <f t="shared" si="14"/>
        <v/>
      </c>
      <c r="B642" s="16" t="str">
        <f t="shared" si="15"/>
        <v/>
      </c>
      <c r="C642" s="35" t="str">
        <f t="shared" si="16"/>
        <v/>
      </c>
      <c r="D642" s="35" t="str">
        <f t="shared" si="17"/>
        <v/>
      </c>
      <c r="E642" s="35" t="str">
        <f t="shared" si="18"/>
        <v/>
      </c>
      <c r="F642" s="35" t="str">
        <f t="shared" si="19"/>
        <v/>
      </c>
      <c r="G642" s="35" t="str">
        <f t="shared" si="20"/>
        <v/>
      </c>
      <c r="H642" s="25"/>
      <c r="I642" s="47" t="str">
        <f t="shared" si="21"/>
        <v/>
      </c>
      <c r="J642" s="48"/>
      <c r="K642" s="21" t="str">
        <f t="shared" si="13"/>
        <v/>
      </c>
      <c r="L642" s="21" t="str">
        <f t="shared" si="3"/>
        <v/>
      </c>
      <c r="M642" s="21" t="str">
        <f t="array" ref="M642">IF(H642="","",SUMif(year(N$2:BO$2),M$2,N642:BO642))</f>
        <v/>
      </c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</row>
    <row r="643">
      <c r="A643" s="16" t="str">
        <f t="shared" si="14"/>
        <v/>
      </c>
      <c r="B643" s="16" t="str">
        <f t="shared" si="15"/>
        <v/>
      </c>
      <c r="C643" s="35" t="str">
        <f t="shared" si="16"/>
        <v/>
      </c>
      <c r="D643" s="35" t="str">
        <f t="shared" si="17"/>
        <v/>
      </c>
      <c r="E643" s="35" t="str">
        <f t="shared" si="18"/>
        <v/>
      </c>
      <c r="F643" s="35" t="str">
        <f t="shared" si="19"/>
        <v/>
      </c>
      <c r="G643" s="35" t="str">
        <f t="shared" si="20"/>
        <v/>
      </c>
      <c r="H643" s="25"/>
      <c r="I643" s="47" t="str">
        <f t="shared" si="21"/>
        <v/>
      </c>
      <c r="J643" s="48"/>
      <c r="K643" s="21" t="str">
        <f t="shared" si="13"/>
        <v/>
      </c>
      <c r="L643" s="21" t="str">
        <f t="shared" si="3"/>
        <v/>
      </c>
      <c r="M643" s="21" t="str">
        <f t="array" ref="M643">IF(H643="","",SUMif(year(N$2:BO$2),M$2,N643:BO643))</f>
        <v/>
      </c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</row>
    <row r="644">
      <c r="A644" s="16" t="str">
        <f t="shared" si="14"/>
        <v/>
      </c>
      <c r="B644" s="16" t="str">
        <f t="shared" si="15"/>
        <v/>
      </c>
      <c r="C644" s="35" t="str">
        <f t="shared" si="16"/>
        <v/>
      </c>
      <c r="D644" s="35" t="str">
        <f t="shared" si="17"/>
        <v/>
      </c>
      <c r="E644" s="35" t="str">
        <f t="shared" si="18"/>
        <v/>
      </c>
      <c r="F644" s="35" t="str">
        <f t="shared" si="19"/>
        <v/>
      </c>
      <c r="G644" s="35" t="str">
        <f t="shared" si="20"/>
        <v/>
      </c>
      <c r="H644" s="25"/>
      <c r="I644" s="47" t="str">
        <f t="shared" si="21"/>
        <v/>
      </c>
      <c r="J644" s="48"/>
      <c r="K644" s="21" t="str">
        <f t="shared" si="13"/>
        <v/>
      </c>
      <c r="L644" s="21" t="str">
        <f t="shared" si="3"/>
        <v/>
      </c>
      <c r="M644" s="21" t="str">
        <f t="array" ref="M644">IF(H644="","",SUMif(year(N$2:BO$2),M$2,N644:BO644))</f>
        <v/>
      </c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</row>
    <row r="645">
      <c r="A645" s="16" t="str">
        <f t="shared" si="14"/>
        <v/>
      </c>
      <c r="B645" s="16" t="str">
        <f t="shared" si="15"/>
        <v/>
      </c>
      <c r="C645" s="35" t="str">
        <f t="shared" si="16"/>
        <v/>
      </c>
      <c r="D645" s="35" t="str">
        <f t="shared" si="17"/>
        <v/>
      </c>
      <c r="E645" s="35" t="str">
        <f t="shared" si="18"/>
        <v/>
      </c>
      <c r="F645" s="35" t="str">
        <f t="shared" si="19"/>
        <v/>
      </c>
      <c r="G645" s="35" t="str">
        <f t="shared" si="20"/>
        <v/>
      </c>
      <c r="H645" s="25"/>
      <c r="I645" s="47" t="str">
        <f t="shared" si="21"/>
        <v/>
      </c>
      <c r="J645" s="48"/>
      <c r="K645" s="21" t="str">
        <f t="shared" si="13"/>
        <v/>
      </c>
      <c r="L645" s="21" t="str">
        <f t="shared" si="3"/>
        <v/>
      </c>
      <c r="M645" s="21" t="str">
        <f t="array" ref="M645">IF(H645="","",SUMif(year(N$2:BO$2),M$2,N645:BO645))</f>
        <v/>
      </c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</row>
    <row r="646">
      <c r="A646" s="16" t="str">
        <f t="shared" si="14"/>
        <v/>
      </c>
      <c r="B646" s="16" t="str">
        <f t="shared" si="15"/>
        <v/>
      </c>
      <c r="C646" s="35" t="str">
        <f t="shared" si="16"/>
        <v/>
      </c>
      <c r="D646" s="35" t="str">
        <f t="shared" si="17"/>
        <v/>
      </c>
      <c r="E646" s="35" t="str">
        <f t="shared" si="18"/>
        <v/>
      </c>
      <c r="F646" s="35" t="str">
        <f t="shared" si="19"/>
        <v/>
      </c>
      <c r="G646" s="35" t="str">
        <f t="shared" si="20"/>
        <v/>
      </c>
      <c r="H646" s="25"/>
      <c r="I646" s="47" t="str">
        <f t="shared" si="21"/>
        <v/>
      </c>
      <c r="J646" s="48"/>
      <c r="K646" s="21" t="str">
        <f t="shared" si="13"/>
        <v/>
      </c>
      <c r="L646" s="21" t="str">
        <f t="shared" si="3"/>
        <v/>
      </c>
      <c r="M646" s="21" t="str">
        <f t="array" ref="M646">IF(H646="","",SUMif(year(N$2:BO$2),M$2,N646:BO646))</f>
        <v/>
      </c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</row>
    <row r="647">
      <c r="A647" s="16" t="str">
        <f t="shared" si="14"/>
        <v/>
      </c>
      <c r="B647" s="16" t="str">
        <f t="shared" si="15"/>
        <v/>
      </c>
      <c r="C647" s="35" t="str">
        <f t="shared" si="16"/>
        <v/>
      </c>
      <c r="D647" s="35" t="str">
        <f t="shared" si="17"/>
        <v/>
      </c>
      <c r="E647" s="35" t="str">
        <f t="shared" si="18"/>
        <v/>
      </c>
      <c r="F647" s="35" t="str">
        <f t="shared" si="19"/>
        <v/>
      </c>
      <c r="G647" s="35" t="str">
        <f t="shared" si="20"/>
        <v/>
      </c>
      <c r="H647" s="25"/>
      <c r="I647" s="47" t="str">
        <f t="shared" si="21"/>
        <v/>
      </c>
      <c r="J647" s="48"/>
      <c r="K647" s="21" t="str">
        <f t="shared" si="13"/>
        <v/>
      </c>
      <c r="L647" s="21" t="str">
        <f t="shared" si="3"/>
        <v/>
      </c>
      <c r="M647" s="21" t="str">
        <f t="array" ref="M647">IF(H647="","",SUMif(year(N$2:BO$2),M$2,N647:BO647))</f>
        <v/>
      </c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</row>
    <row r="648">
      <c r="A648" s="16" t="str">
        <f t="shared" si="14"/>
        <v/>
      </c>
      <c r="B648" s="16" t="str">
        <f t="shared" si="15"/>
        <v/>
      </c>
      <c r="C648" s="35" t="str">
        <f t="shared" si="16"/>
        <v/>
      </c>
      <c r="D648" s="35" t="str">
        <f t="shared" si="17"/>
        <v/>
      </c>
      <c r="E648" s="35" t="str">
        <f t="shared" si="18"/>
        <v/>
      </c>
      <c r="F648" s="35" t="str">
        <f t="shared" si="19"/>
        <v/>
      </c>
      <c r="G648" s="35" t="str">
        <f t="shared" si="20"/>
        <v/>
      </c>
      <c r="H648" s="25"/>
      <c r="I648" s="47" t="str">
        <f t="shared" si="21"/>
        <v/>
      </c>
      <c r="J648" s="48"/>
      <c r="K648" s="21" t="str">
        <f t="shared" si="13"/>
        <v/>
      </c>
      <c r="L648" s="21" t="str">
        <f t="shared" si="3"/>
        <v/>
      </c>
      <c r="M648" s="21" t="str">
        <f t="array" ref="M648">IF(H648="","",SUMif(year(N$2:BO$2),M$2,N648:BO648))</f>
        <v/>
      </c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</row>
    <row r="649">
      <c r="A649" s="16" t="str">
        <f t="shared" si="14"/>
        <v/>
      </c>
      <c r="B649" s="16" t="str">
        <f t="shared" si="15"/>
        <v/>
      </c>
      <c r="C649" s="35" t="str">
        <f t="shared" si="16"/>
        <v/>
      </c>
      <c r="D649" s="35" t="str">
        <f t="shared" si="17"/>
        <v/>
      </c>
      <c r="E649" s="35" t="str">
        <f t="shared" si="18"/>
        <v/>
      </c>
      <c r="F649" s="35" t="str">
        <f t="shared" si="19"/>
        <v/>
      </c>
      <c r="G649" s="35" t="str">
        <f t="shared" si="20"/>
        <v/>
      </c>
      <c r="H649" s="25"/>
      <c r="I649" s="47" t="str">
        <f t="shared" si="21"/>
        <v/>
      </c>
      <c r="J649" s="48"/>
      <c r="K649" s="21" t="str">
        <f t="shared" si="13"/>
        <v/>
      </c>
      <c r="L649" s="21" t="str">
        <f t="shared" si="3"/>
        <v/>
      </c>
      <c r="M649" s="21" t="str">
        <f t="array" ref="M649">IF(H649="","",SUMif(year(N$2:BO$2),M$2,N649:BO649))</f>
        <v/>
      </c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</row>
    <row r="650">
      <c r="A650" s="16" t="str">
        <f t="shared" si="14"/>
        <v/>
      </c>
      <c r="B650" s="16" t="str">
        <f t="shared" si="15"/>
        <v/>
      </c>
      <c r="C650" s="35" t="str">
        <f t="shared" si="16"/>
        <v/>
      </c>
      <c r="D650" s="35" t="str">
        <f t="shared" si="17"/>
        <v/>
      </c>
      <c r="E650" s="35" t="str">
        <f t="shared" si="18"/>
        <v/>
      </c>
      <c r="F650" s="35" t="str">
        <f t="shared" si="19"/>
        <v/>
      </c>
      <c r="G650" s="35" t="str">
        <f t="shared" si="20"/>
        <v/>
      </c>
      <c r="H650" s="25"/>
      <c r="I650" s="47" t="str">
        <f t="shared" si="21"/>
        <v/>
      </c>
      <c r="J650" s="48"/>
      <c r="K650" s="21" t="str">
        <f t="shared" si="13"/>
        <v/>
      </c>
      <c r="L650" s="21" t="str">
        <f t="shared" si="3"/>
        <v/>
      </c>
      <c r="M650" s="21" t="str">
        <f t="array" ref="M650">IF(H650="","",SUMif(year(N$2:BO$2),M$2,N650:BO650))</f>
        <v/>
      </c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</row>
    <row r="651">
      <c r="A651" s="16" t="str">
        <f t="shared" si="14"/>
        <v/>
      </c>
      <c r="B651" s="16" t="str">
        <f t="shared" si="15"/>
        <v/>
      </c>
      <c r="C651" s="35" t="str">
        <f t="shared" si="16"/>
        <v/>
      </c>
      <c r="D651" s="35" t="str">
        <f t="shared" si="17"/>
        <v/>
      </c>
      <c r="E651" s="35" t="str">
        <f t="shared" si="18"/>
        <v/>
      </c>
      <c r="F651" s="35" t="str">
        <f t="shared" si="19"/>
        <v/>
      </c>
      <c r="G651" s="35" t="str">
        <f t="shared" si="20"/>
        <v/>
      </c>
      <c r="H651" s="25"/>
      <c r="I651" s="47" t="str">
        <f t="shared" si="21"/>
        <v/>
      </c>
      <c r="J651" s="48"/>
      <c r="K651" s="21" t="str">
        <f t="shared" si="13"/>
        <v/>
      </c>
      <c r="L651" s="21" t="str">
        <f t="shared" si="3"/>
        <v/>
      </c>
      <c r="M651" s="21" t="str">
        <f t="array" ref="M651">IF(H651="","",SUMif(year(N$2:BO$2),M$2,N651:BO651))</f>
        <v/>
      </c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</row>
    <row r="652">
      <c r="A652" s="16" t="str">
        <f t="shared" si="14"/>
        <v/>
      </c>
      <c r="B652" s="16" t="str">
        <f t="shared" si="15"/>
        <v/>
      </c>
      <c r="C652" s="35" t="str">
        <f t="shared" si="16"/>
        <v/>
      </c>
      <c r="D652" s="35" t="str">
        <f t="shared" si="17"/>
        <v/>
      </c>
      <c r="E652" s="35" t="str">
        <f t="shared" si="18"/>
        <v/>
      </c>
      <c r="F652" s="35" t="str">
        <f t="shared" si="19"/>
        <v/>
      </c>
      <c r="G652" s="35" t="str">
        <f t="shared" si="20"/>
        <v/>
      </c>
      <c r="H652" s="25"/>
      <c r="I652" s="47" t="str">
        <f t="shared" si="21"/>
        <v/>
      </c>
      <c r="J652" s="48"/>
      <c r="K652" s="21" t="str">
        <f t="shared" si="13"/>
        <v/>
      </c>
      <c r="L652" s="21" t="str">
        <f t="shared" si="3"/>
        <v/>
      </c>
      <c r="M652" s="21" t="str">
        <f t="array" ref="M652">IF(H652="","",SUMif(year(N$2:BO$2),M$2,N652:BO652))</f>
        <v/>
      </c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</row>
    <row r="653">
      <c r="A653" s="16" t="str">
        <f t="shared" si="14"/>
        <v/>
      </c>
      <c r="B653" s="16" t="str">
        <f t="shared" si="15"/>
        <v/>
      </c>
      <c r="C653" s="35" t="str">
        <f t="shared" si="16"/>
        <v/>
      </c>
      <c r="D653" s="35" t="str">
        <f t="shared" si="17"/>
        <v/>
      </c>
      <c r="E653" s="35" t="str">
        <f t="shared" si="18"/>
        <v/>
      </c>
      <c r="F653" s="35" t="str">
        <f t="shared" si="19"/>
        <v/>
      </c>
      <c r="G653" s="35" t="str">
        <f t="shared" si="20"/>
        <v/>
      </c>
      <c r="H653" s="25"/>
      <c r="I653" s="47" t="str">
        <f t="shared" si="21"/>
        <v/>
      </c>
      <c r="J653" s="48"/>
      <c r="K653" s="21" t="str">
        <f t="shared" si="13"/>
        <v/>
      </c>
      <c r="L653" s="21" t="str">
        <f t="shared" si="3"/>
        <v/>
      </c>
      <c r="M653" s="21" t="str">
        <f t="array" ref="M653">IF(H653="","",SUMif(year(N$2:BO$2),M$2,N653:BO653))</f>
        <v/>
      </c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</row>
    <row r="654">
      <c r="A654" s="16" t="str">
        <f t="shared" si="14"/>
        <v/>
      </c>
      <c r="B654" s="16" t="str">
        <f t="shared" si="15"/>
        <v/>
      </c>
      <c r="C654" s="35" t="str">
        <f t="shared" si="16"/>
        <v/>
      </c>
      <c r="D654" s="35" t="str">
        <f t="shared" si="17"/>
        <v/>
      </c>
      <c r="E654" s="35" t="str">
        <f t="shared" si="18"/>
        <v/>
      </c>
      <c r="F654" s="35" t="str">
        <f t="shared" si="19"/>
        <v/>
      </c>
      <c r="G654" s="35" t="str">
        <f t="shared" si="20"/>
        <v/>
      </c>
      <c r="H654" s="25"/>
      <c r="I654" s="47" t="str">
        <f t="shared" si="21"/>
        <v/>
      </c>
      <c r="J654" s="48"/>
      <c r="K654" s="21" t="str">
        <f t="shared" si="13"/>
        <v/>
      </c>
      <c r="L654" s="21" t="str">
        <f t="shared" si="3"/>
        <v/>
      </c>
      <c r="M654" s="21" t="str">
        <f t="array" ref="M654">IF(H654="","",SUMif(year(N$2:BO$2),M$2,N654:BO654))</f>
        <v/>
      </c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</row>
    <row r="655">
      <c r="A655" s="16" t="str">
        <f t="shared" si="14"/>
        <v/>
      </c>
      <c r="B655" s="16" t="str">
        <f t="shared" si="15"/>
        <v/>
      </c>
      <c r="C655" s="35" t="str">
        <f t="shared" si="16"/>
        <v/>
      </c>
      <c r="D655" s="35" t="str">
        <f t="shared" si="17"/>
        <v/>
      </c>
      <c r="E655" s="35" t="str">
        <f t="shared" si="18"/>
        <v/>
      </c>
      <c r="F655" s="35" t="str">
        <f t="shared" si="19"/>
        <v/>
      </c>
      <c r="G655" s="35" t="str">
        <f t="shared" si="20"/>
        <v/>
      </c>
      <c r="H655" s="25"/>
      <c r="I655" s="47" t="str">
        <f t="shared" si="21"/>
        <v/>
      </c>
      <c r="J655" s="48"/>
      <c r="K655" s="21" t="str">
        <f t="shared" si="13"/>
        <v/>
      </c>
      <c r="L655" s="21" t="str">
        <f t="shared" si="3"/>
        <v/>
      </c>
      <c r="M655" s="21" t="str">
        <f t="array" ref="M655">IF(H655="","",SUMif(year(N$2:BO$2),M$2,N655:BO655))</f>
        <v/>
      </c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</row>
    <row r="656">
      <c r="A656" s="16" t="str">
        <f t="shared" si="14"/>
        <v/>
      </c>
      <c r="B656" s="16" t="str">
        <f t="shared" si="15"/>
        <v/>
      </c>
      <c r="C656" s="35" t="str">
        <f t="shared" si="16"/>
        <v/>
      </c>
      <c r="D656" s="35" t="str">
        <f t="shared" si="17"/>
        <v/>
      </c>
      <c r="E656" s="35" t="str">
        <f t="shared" si="18"/>
        <v/>
      </c>
      <c r="F656" s="35" t="str">
        <f t="shared" si="19"/>
        <v/>
      </c>
      <c r="G656" s="35" t="str">
        <f t="shared" si="20"/>
        <v/>
      </c>
      <c r="H656" s="25"/>
      <c r="I656" s="47" t="str">
        <f t="shared" si="21"/>
        <v/>
      </c>
      <c r="J656" s="48"/>
      <c r="K656" s="21" t="str">
        <f t="shared" si="13"/>
        <v/>
      </c>
      <c r="L656" s="21" t="str">
        <f t="shared" si="3"/>
        <v/>
      </c>
      <c r="M656" s="21" t="str">
        <f t="array" ref="M656">IF(H656="","",SUMif(year(N$2:BO$2),M$2,N656:BO656))</f>
        <v/>
      </c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</row>
    <row r="657">
      <c r="A657" s="16" t="str">
        <f t="shared" si="14"/>
        <v/>
      </c>
      <c r="B657" s="16" t="str">
        <f t="shared" si="15"/>
        <v/>
      </c>
      <c r="C657" s="35" t="str">
        <f t="shared" si="16"/>
        <v/>
      </c>
      <c r="D657" s="35" t="str">
        <f t="shared" si="17"/>
        <v/>
      </c>
      <c r="E657" s="35" t="str">
        <f t="shared" si="18"/>
        <v/>
      </c>
      <c r="F657" s="35" t="str">
        <f t="shared" si="19"/>
        <v/>
      </c>
      <c r="G657" s="35" t="str">
        <f t="shared" si="20"/>
        <v/>
      </c>
      <c r="H657" s="25"/>
      <c r="I657" s="47" t="str">
        <f t="shared" si="21"/>
        <v/>
      </c>
      <c r="J657" s="48"/>
      <c r="K657" s="21" t="str">
        <f t="shared" si="13"/>
        <v/>
      </c>
      <c r="L657" s="21" t="str">
        <f t="shared" si="3"/>
        <v/>
      </c>
      <c r="M657" s="21" t="str">
        <f t="array" ref="M657">IF(H657="","",SUMif(year(N$2:BO$2),M$2,N657:BO657))</f>
        <v/>
      </c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</row>
    <row r="658">
      <c r="A658" s="16" t="str">
        <f t="shared" si="14"/>
        <v/>
      </c>
      <c r="B658" s="16" t="str">
        <f t="shared" si="15"/>
        <v/>
      </c>
      <c r="C658" s="35" t="str">
        <f t="shared" si="16"/>
        <v/>
      </c>
      <c r="D658" s="35" t="str">
        <f t="shared" si="17"/>
        <v/>
      </c>
      <c r="E658" s="35" t="str">
        <f t="shared" si="18"/>
        <v/>
      </c>
      <c r="F658" s="35" t="str">
        <f t="shared" si="19"/>
        <v/>
      </c>
      <c r="G658" s="35" t="str">
        <f t="shared" si="20"/>
        <v/>
      </c>
      <c r="H658" s="25"/>
      <c r="I658" s="47" t="str">
        <f t="shared" si="21"/>
        <v/>
      </c>
      <c r="J658" s="48"/>
      <c r="K658" s="21" t="str">
        <f t="shared" si="13"/>
        <v/>
      </c>
      <c r="L658" s="21" t="str">
        <f t="shared" si="3"/>
        <v/>
      </c>
      <c r="M658" s="21" t="str">
        <f t="array" ref="M658">IF(H658="","",SUMif(year(N$2:BO$2),M$2,N658:BO658))</f>
        <v/>
      </c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</row>
    <row r="659">
      <c r="A659" s="16" t="str">
        <f t="shared" si="14"/>
        <v/>
      </c>
      <c r="B659" s="16" t="str">
        <f t="shared" si="15"/>
        <v/>
      </c>
      <c r="C659" s="35" t="str">
        <f t="shared" si="16"/>
        <v/>
      </c>
      <c r="D659" s="35" t="str">
        <f t="shared" si="17"/>
        <v/>
      </c>
      <c r="E659" s="35" t="str">
        <f t="shared" si="18"/>
        <v/>
      </c>
      <c r="F659" s="35" t="str">
        <f t="shared" si="19"/>
        <v/>
      </c>
      <c r="G659" s="35" t="str">
        <f t="shared" si="20"/>
        <v/>
      </c>
      <c r="H659" s="25"/>
      <c r="I659" s="47" t="str">
        <f t="shared" si="21"/>
        <v/>
      </c>
      <c r="J659" s="48"/>
      <c r="K659" s="21" t="str">
        <f t="shared" si="13"/>
        <v/>
      </c>
      <c r="L659" s="21" t="str">
        <f t="shared" si="3"/>
        <v/>
      </c>
      <c r="M659" s="21" t="str">
        <f t="array" ref="M659">IF(H659="","",SUMif(year(N$2:BO$2),M$2,N659:BO659))</f>
        <v/>
      </c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</row>
    <row r="660">
      <c r="A660" s="16" t="str">
        <f t="shared" si="14"/>
        <v/>
      </c>
      <c r="B660" s="16" t="str">
        <f t="shared" si="15"/>
        <v/>
      </c>
      <c r="C660" s="35" t="str">
        <f t="shared" si="16"/>
        <v/>
      </c>
      <c r="D660" s="35" t="str">
        <f t="shared" si="17"/>
        <v/>
      </c>
      <c r="E660" s="35" t="str">
        <f t="shared" si="18"/>
        <v/>
      </c>
      <c r="F660" s="35" t="str">
        <f t="shared" si="19"/>
        <v/>
      </c>
      <c r="G660" s="35" t="str">
        <f t="shared" si="20"/>
        <v/>
      </c>
      <c r="H660" s="25"/>
      <c r="I660" s="47" t="str">
        <f t="shared" si="21"/>
        <v/>
      </c>
      <c r="J660" s="48"/>
      <c r="K660" s="21" t="str">
        <f t="shared" si="13"/>
        <v/>
      </c>
      <c r="L660" s="21" t="str">
        <f t="shared" si="3"/>
        <v/>
      </c>
      <c r="M660" s="21" t="str">
        <f t="array" ref="M660">IF(H660="","",SUMif(year(N$2:BO$2),M$2,N660:BO660))</f>
        <v/>
      </c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</row>
    <row r="661">
      <c r="A661" s="16" t="str">
        <f t="shared" si="14"/>
        <v/>
      </c>
      <c r="B661" s="16" t="str">
        <f t="shared" si="15"/>
        <v/>
      </c>
      <c r="C661" s="35" t="str">
        <f t="shared" si="16"/>
        <v/>
      </c>
      <c r="D661" s="35" t="str">
        <f t="shared" si="17"/>
        <v/>
      </c>
      <c r="E661" s="35" t="str">
        <f t="shared" si="18"/>
        <v/>
      </c>
      <c r="F661" s="35" t="str">
        <f t="shared" si="19"/>
        <v/>
      </c>
      <c r="G661" s="35" t="str">
        <f t="shared" si="20"/>
        <v/>
      </c>
      <c r="H661" s="25"/>
      <c r="I661" s="47" t="str">
        <f t="shared" si="21"/>
        <v/>
      </c>
      <c r="J661" s="48"/>
      <c r="K661" s="21" t="str">
        <f t="shared" si="13"/>
        <v/>
      </c>
      <c r="L661" s="21" t="str">
        <f t="shared" si="3"/>
        <v/>
      </c>
      <c r="M661" s="21" t="str">
        <f t="array" ref="M661">IF(H661="","",SUMif(year(N$2:BO$2),M$2,N661:BO661))</f>
        <v/>
      </c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</row>
    <row r="662">
      <c r="A662" s="16" t="str">
        <f t="shared" si="14"/>
        <v/>
      </c>
      <c r="B662" s="16" t="str">
        <f t="shared" si="15"/>
        <v/>
      </c>
      <c r="C662" s="35" t="str">
        <f t="shared" si="16"/>
        <v/>
      </c>
      <c r="D662" s="35" t="str">
        <f t="shared" si="17"/>
        <v/>
      </c>
      <c r="E662" s="35" t="str">
        <f t="shared" si="18"/>
        <v/>
      </c>
      <c r="F662" s="35" t="str">
        <f t="shared" si="19"/>
        <v/>
      </c>
      <c r="G662" s="35" t="str">
        <f t="shared" si="20"/>
        <v/>
      </c>
      <c r="H662" s="25"/>
      <c r="I662" s="47" t="str">
        <f t="shared" si="21"/>
        <v/>
      </c>
      <c r="J662" s="48"/>
      <c r="K662" s="21" t="str">
        <f t="shared" si="13"/>
        <v/>
      </c>
      <c r="L662" s="21" t="str">
        <f t="shared" si="3"/>
        <v/>
      </c>
      <c r="M662" s="21" t="str">
        <f t="array" ref="M662">IF(H662="","",SUMif(year(N$2:BO$2),M$2,N662:BO662))</f>
        <v/>
      </c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</row>
    <row r="663">
      <c r="A663" s="16" t="str">
        <f t="shared" si="14"/>
        <v/>
      </c>
      <c r="B663" s="16" t="str">
        <f t="shared" si="15"/>
        <v/>
      </c>
      <c r="C663" s="35" t="str">
        <f t="shared" si="16"/>
        <v/>
      </c>
      <c r="D663" s="35" t="str">
        <f t="shared" si="17"/>
        <v/>
      </c>
      <c r="E663" s="35" t="str">
        <f t="shared" si="18"/>
        <v/>
      </c>
      <c r="F663" s="35" t="str">
        <f t="shared" si="19"/>
        <v/>
      </c>
      <c r="G663" s="35" t="str">
        <f t="shared" si="20"/>
        <v/>
      </c>
      <c r="H663" s="25"/>
      <c r="I663" s="47" t="str">
        <f t="shared" si="21"/>
        <v/>
      </c>
      <c r="J663" s="48"/>
      <c r="K663" s="21" t="str">
        <f t="shared" si="13"/>
        <v/>
      </c>
      <c r="L663" s="21" t="str">
        <f t="shared" si="3"/>
        <v/>
      </c>
      <c r="M663" s="21" t="str">
        <f t="array" ref="M663">IF(H663="","",SUMif(year(N$2:BO$2),M$2,N663:BO663))</f>
        <v/>
      </c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</row>
    <row r="664">
      <c r="A664" s="16" t="str">
        <f t="shared" si="14"/>
        <v/>
      </c>
      <c r="B664" s="16" t="str">
        <f t="shared" si="15"/>
        <v/>
      </c>
      <c r="C664" s="35" t="str">
        <f t="shared" si="16"/>
        <v/>
      </c>
      <c r="D664" s="35" t="str">
        <f t="shared" si="17"/>
        <v/>
      </c>
      <c r="E664" s="35" t="str">
        <f t="shared" si="18"/>
        <v/>
      </c>
      <c r="F664" s="35" t="str">
        <f t="shared" si="19"/>
        <v/>
      </c>
      <c r="G664" s="35" t="str">
        <f t="shared" si="20"/>
        <v/>
      </c>
      <c r="H664" s="25"/>
      <c r="I664" s="47" t="str">
        <f t="shared" si="21"/>
        <v/>
      </c>
      <c r="J664" s="48"/>
      <c r="K664" s="21" t="str">
        <f t="shared" si="13"/>
        <v/>
      </c>
      <c r="L664" s="21" t="str">
        <f t="shared" si="3"/>
        <v/>
      </c>
      <c r="M664" s="21" t="str">
        <f t="array" ref="M664">IF(H664="","",SUMif(year(N$2:BO$2),M$2,N664:BO664))</f>
        <v/>
      </c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</row>
    <row r="665">
      <c r="A665" s="16" t="str">
        <f t="shared" si="14"/>
        <v/>
      </c>
      <c r="B665" s="16" t="str">
        <f t="shared" si="15"/>
        <v/>
      </c>
      <c r="C665" s="35" t="str">
        <f t="shared" si="16"/>
        <v/>
      </c>
      <c r="D665" s="35" t="str">
        <f t="shared" si="17"/>
        <v/>
      </c>
      <c r="E665" s="35" t="str">
        <f t="shared" si="18"/>
        <v/>
      </c>
      <c r="F665" s="35" t="str">
        <f t="shared" si="19"/>
        <v/>
      </c>
      <c r="G665" s="35" t="str">
        <f t="shared" si="20"/>
        <v/>
      </c>
      <c r="H665" s="25"/>
      <c r="I665" s="47" t="str">
        <f t="shared" si="21"/>
        <v/>
      </c>
      <c r="J665" s="48"/>
      <c r="K665" s="21" t="str">
        <f t="shared" si="13"/>
        <v/>
      </c>
      <c r="L665" s="21" t="str">
        <f t="shared" si="3"/>
        <v/>
      </c>
      <c r="M665" s="21" t="str">
        <f t="array" ref="M665">IF(H665="","",SUMif(year(N$2:BO$2),M$2,N665:BO665))</f>
        <v/>
      </c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</row>
    <row r="666">
      <c r="A666" s="16" t="str">
        <f t="shared" si="14"/>
        <v/>
      </c>
      <c r="B666" s="16" t="str">
        <f t="shared" si="15"/>
        <v/>
      </c>
      <c r="C666" s="35" t="str">
        <f t="shared" si="16"/>
        <v/>
      </c>
      <c r="D666" s="35" t="str">
        <f t="shared" si="17"/>
        <v/>
      </c>
      <c r="E666" s="35" t="str">
        <f t="shared" si="18"/>
        <v/>
      </c>
      <c r="F666" s="35" t="str">
        <f t="shared" si="19"/>
        <v/>
      </c>
      <c r="G666" s="35" t="str">
        <f t="shared" si="20"/>
        <v/>
      </c>
      <c r="H666" s="25"/>
      <c r="I666" s="47" t="str">
        <f t="shared" si="21"/>
        <v/>
      </c>
      <c r="J666" s="48"/>
      <c r="K666" s="21" t="str">
        <f t="shared" si="13"/>
        <v/>
      </c>
      <c r="L666" s="21" t="str">
        <f t="shared" si="3"/>
        <v/>
      </c>
      <c r="M666" s="21" t="str">
        <f t="array" ref="M666">IF(H666="","",SUMif(year(N$2:BO$2),M$2,N666:BO666))</f>
        <v/>
      </c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</row>
    <row r="667">
      <c r="A667" s="16" t="str">
        <f t="shared" si="14"/>
        <v/>
      </c>
      <c r="B667" s="16" t="str">
        <f t="shared" si="15"/>
        <v/>
      </c>
      <c r="C667" s="35" t="str">
        <f t="shared" si="16"/>
        <v/>
      </c>
      <c r="D667" s="35" t="str">
        <f t="shared" si="17"/>
        <v/>
      </c>
      <c r="E667" s="35" t="str">
        <f t="shared" si="18"/>
        <v/>
      </c>
      <c r="F667" s="35" t="str">
        <f t="shared" si="19"/>
        <v/>
      </c>
      <c r="G667" s="35" t="str">
        <f t="shared" si="20"/>
        <v/>
      </c>
      <c r="H667" s="25"/>
      <c r="I667" s="47" t="str">
        <f t="shared" si="21"/>
        <v/>
      </c>
      <c r="J667" s="48"/>
      <c r="K667" s="21" t="str">
        <f t="shared" si="13"/>
        <v/>
      </c>
      <c r="L667" s="21" t="str">
        <f t="shared" si="3"/>
        <v/>
      </c>
      <c r="M667" s="21" t="str">
        <f t="array" ref="M667">IF(H667="","",SUMif(year(N$2:BO$2),M$2,N667:BO667))</f>
        <v/>
      </c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</row>
    <row r="668">
      <c r="A668" s="16" t="str">
        <f t="shared" si="14"/>
        <v/>
      </c>
      <c r="B668" s="16" t="str">
        <f t="shared" si="15"/>
        <v/>
      </c>
      <c r="C668" s="35" t="str">
        <f t="shared" si="16"/>
        <v/>
      </c>
      <c r="D668" s="35" t="str">
        <f t="shared" si="17"/>
        <v/>
      </c>
      <c r="E668" s="35" t="str">
        <f t="shared" si="18"/>
        <v/>
      </c>
      <c r="F668" s="35" t="str">
        <f t="shared" si="19"/>
        <v/>
      </c>
      <c r="G668" s="35" t="str">
        <f t="shared" si="20"/>
        <v/>
      </c>
      <c r="H668" s="25"/>
      <c r="I668" s="47" t="str">
        <f t="shared" si="21"/>
        <v/>
      </c>
      <c r="J668" s="48"/>
      <c r="K668" s="21" t="str">
        <f t="shared" si="13"/>
        <v/>
      </c>
      <c r="L668" s="21" t="str">
        <f t="shared" si="3"/>
        <v/>
      </c>
      <c r="M668" s="21" t="str">
        <f t="array" ref="M668">IF(H668="","",SUMif(year(N$2:BO$2),M$2,N668:BO668))</f>
        <v/>
      </c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</row>
    <row r="669">
      <c r="A669" s="16" t="str">
        <f t="shared" si="14"/>
        <v/>
      </c>
      <c r="B669" s="16" t="str">
        <f t="shared" si="15"/>
        <v/>
      </c>
      <c r="C669" s="35" t="str">
        <f t="shared" si="16"/>
        <v/>
      </c>
      <c r="D669" s="35" t="str">
        <f t="shared" si="17"/>
        <v/>
      </c>
      <c r="E669" s="35" t="str">
        <f t="shared" si="18"/>
        <v/>
      </c>
      <c r="F669" s="35" t="str">
        <f t="shared" si="19"/>
        <v/>
      </c>
      <c r="G669" s="35" t="str">
        <f t="shared" si="20"/>
        <v/>
      </c>
      <c r="H669" s="25"/>
      <c r="I669" s="47" t="str">
        <f t="shared" si="21"/>
        <v/>
      </c>
      <c r="J669" s="48"/>
      <c r="K669" s="21" t="str">
        <f t="shared" si="13"/>
        <v/>
      </c>
      <c r="L669" s="21" t="str">
        <f t="shared" si="3"/>
        <v/>
      </c>
      <c r="M669" s="21" t="str">
        <f t="array" ref="M669">IF(H669="","",SUMif(year(N$2:BO$2),M$2,N669:BO669))</f>
        <v/>
      </c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</row>
    <row r="670">
      <c r="A670" s="16" t="str">
        <f t="shared" si="14"/>
        <v/>
      </c>
      <c r="B670" s="16" t="str">
        <f t="shared" si="15"/>
        <v/>
      </c>
      <c r="C670" s="35" t="str">
        <f t="shared" si="16"/>
        <v/>
      </c>
      <c r="D670" s="35" t="str">
        <f t="shared" si="17"/>
        <v/>
      </c>
      <c r="E670" s="35" t="str">
        <f t="shared" si="18"/>
        <v/>
      </c>
      <c r="F670" s="35" t="str">
        <f t="shared" si="19"/>
        <v/>
      </c>
      <c r="G670" s="35" t="str">
        <f t="shared" si="20"/>
        <v/>
      </c>
      <c r="H670" s="25"/>
      <c r="I670" s="47" t="str">
        <f t="shared" si="21"/>
        <v/>
      </c>
      <c r="J670" s="48"/>
      <c r="K670" s="21" t="str">
        <f t="shared" si="13"/>
        <v/>
      </c>
      <c r="L670" s="21" t="str">
        <f t="shared" si="3"/>
        <v/>
      </c>
      <c r="M670" s="21" t="str">
        <f t="array" ref="M670">IF(H670="","",SUMif(year(N$2:BO$2),M$2,N670:BO670))</f>
        <v/>
      </c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</row>
    <row r="671">
      <c r="A671" s="16" t="str">
        <f t="shared" si="14"/>
        <v/>
      </c>
      <c r="B671" s="16" t="str">
        <f t="shared" si="15"/>
        <v/>
      </c>
      <c r="C671" s="35" t="str">
        <f t="shared" si="16"/>
        <v/>
      </c>
      <c r="D671" s="35" t="str">
        <f t="shared" si="17"/>
        <v/>
      </c>
      <c r="E671" s="35" t="str">
        <f t="shared" si="18"/>
        <v/>
      </c>
      <c r="F671" s="35" t="str">
        <f t="shared" si="19"/>
        <v/>
      </c>
      <c r="G671" s="35" t="str">
        <f t="shared" si="20"/>
        <v/>
      </c>
      <c r="H671" s="25"/>
      <c r="I671" s="47" t="str">
        <f t="shared" si="21"/>
        <v/>
      </c>
      <c r="J671" s="48"/>
      <c r="K671" s="21" t="str">
        <f t="shared" si="13"/>
        <v/>
      </c>
      <c r="L671" s="21" t="str">
        <f t="shared" si="3"/>
        <v/>
      </c>
      <c r="M671" s="21" t="str">
        <f t="array" ref="M671">IF(H671="","",SUMif(year(N$2:BO$2),M$2,N671:BO671))</f>
        <v/>
      </c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</row>
    <row r="672">
      <c r="A672" s="16" t="str">
        <f t="shared" si="14"/>
        <v/>
      </c>
      <c r="B672" s="16" t="str">
        <f t="shared" si="15"/>
        <v/>
      </c>
      <c r="C672" s="35" t="str">
        <f t="shared" si="16"/>
        <v/>
      </c>
      <c r="D672" s="35" t="str">
        <f t="shared" si="17"/>
        <v/>
      </c>
      <c r="E672" s="35" t="str">
        <f t="shared" si="18"/>
        <v/>
      </c>
      <c r="F672" s="35" t="str">
        <f t="shared" si="19"/>
        <v/>
      </c>
      <c r="G672" s="35" t="str">
        <f t="shared" si="20"/>
        <v/>
      </c>
      <c r="H672" s="25"/>
      <c r="I672" s="47" t="str">
        <f t="shared" si="21"/>
        <v/>
      </c>
      <c r="J672" s="48"/>
      <c r="K672" s="21" t="str">
        <f t="shared" si="13"/>
        <v/>
      </c>
      <c r="L672" s="21" t="str">
        <f t="shared" si="3"/>
        <v/>
      </c>
      <c r="M672" s="21" t="str">
        <f t="array" ref="M672">IF(H672="","",SUMif(year(N$2:BO$2),M$2,N672:BO672))</f>
        <v/>
      </c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</row>
    <row r="673">
      <c r="A673" s="16" t="str">
        <f t="shared" si="14"/>
        <v/>
      </c>
      <c r="B673" s="16" t="str">
        <f t="shared" si="15"/>
        <v/>
      </c>
      <c r="C673" s="35" t="str">
        <f t="shared" si="16"/>
        <v/>
      </c>
      <c r="D673" s="35" t="str">
        <f t="shared" si="17"/>
        <v/>
      </c>
      <c r="E673" s="35" t="str">
        <f t="shared" si="18"/>
        <v/>
      </c>
      <c r="F673" s="35" t="str">
        <f t="shared" si="19"/>
        <v/>
      </c>
      <c r="G673" s="35" t="str">
        <f t="shared" si="20"/>
        <v/>
      </c>
      <c r="H673" s="25"/>
      <c r="I673" s="47" t="str">
        <f t="shared" si="21"/>
        <v/>
      </c>
      <c r="J673" s="48"/>
      <c r="K673" s="21" t="str">
        <f t="shared" si="13"/>
        <v/>
      </c>
      <c r="L673" s="21" t="str">
        <f t="shared" si="3"/>
        <v/>
      </c>
      <c r="M673" s="21" t="str">
        <f t="array" ref="M673">IF(H673="","",SUMif(year(N$2:BO$2),M$2,N673:BO673))</f>
        <v/>
      </c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</row>
    <row r="674">
      <c r="A674" s="16" t="str">
        <f t="shared" si="14"/>
        <v/>
      </c>
      <c r="B674" s="16" t="str">
        <f t="shared" si="15"/>
        <v/>
      </c>
      <c r="C674" s="35" t="str">
        <f t="shared" si="16"/>
        <v/>
      </c>
      <c r="D674" s="35" t="str">
        <f t="shared" si="17"/>
        <v/>
      </c>
      <c r="E674" s="35" t="str">
        <f t="shared" si="18"/>
        <v/>
      </c>
      <c r="F674" s="35" t="str">
        <f t="shared" si="19"/>
        <v/>
      </c>
      <c r="G674" s="35" t="str">
        <f t="shared" si="20"/>
        <v/>
      </c>
      <c r="H674" s="25"/>
      <c r="I674" s="47" t="str">
        <f t="shared" si="21"/>
        <v/>
      </c>
      <c r="J674" s="48"/>
      <c r="K674" s="21" t="str">
        <f t="shared" si="13"/>
        <v/>
      </c>
      <c r="L674" s="21" t="str">
        <f t="shared" si="3"/>
        <v/>
      </c>
      <c r="M674" s="21" t="str">
        <f t="array" ref="M674">IF(H674="","",SUMif(year(N$2:BO$2),M$2,N674:BO674))</f>
        <v/>
      </c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</row>
    <row r="675">
      <c r="A675" s="16" t="str">
        <f t="shared" si="14"/>
        <v/>
      </c>
      <c r="B675" s="16" t="str">
        <f t="shared" si="15"/>
        <v/>
      </c>
      <c r="C675" s="35" t="str">
        <f t="shared" si="16"/>
        <v/>
      </c>
      <c r="D675" s="35" t="str">
        <f t="shared" si="17"/>
        <v/>
      </c>
      <c r="E675" s="35" t="str">
        <f t="shared" si="18"/>
        <v/>
      </c>
      <c r="F675" s="35" t="str">
        <f t="shared" si="19"/>
        <v/>
      </c>
      <c r="G675" s="35" t="str">
        <f t="shared" si="20"/>
        <v/>
      </c>
      <c r="H675" s="25"/>
      <c r="I675" s="47" t="str">
        <f t="shared" si="21"/>
        <v/>
      </c>
      <c r="J675" s="48"/>
      <c r="K675" s="21" t="str">
        <f t="shared" si="13"/>
        <v/>
      </c>
      <c r="L675" s="21" t="str">
        <f t="shared" si="3"/>
        <v/>
      </c>
      <c r="M675" s="21" t="str">
        <f t="array" ref="M675">IF(H675="","",SUMif(year(N$2:BO$2),M$2,N675:BO675))</f>
        <v/>
      </c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</row>
    <row r="676">
      <c r="A676" s="16" t="str">
        <f t="shared" si="14"/>
        <v/>
      </c>
      <c r="B676" s="16" t="str">
        <f t="shared" si="15"/>
        <v/>
      </c>
      <c r="C676" s="35" t="str">
        <f t="shared" si="16"/>
        <v/>
      </c>
      <c r="D676" s="35" t="str">
        <f t="shared" si="17"/>
        <v/>
      </c>
      <c r="E676" s="35" t="str">
        <f t="shared" si="18"/>
        <v/>
      </c>
      <c r="F676" s="35" t="str">
        <f t="shared" si="19"/>
        <v/>
      </c>
      <c r="G676" s="35" t="str">
        <f t="shared" si="20"/>
        <v/>
      </c>
      <c r="H676" s="25"/>
      <c r="I676" s="47" t="str">
        <f t="shared" si="21"/>
        <v/>
      </c>
      <c r="J676" s="48"/>
      <c r="K676" s="21" t="str">
        <f t="shared" si="13"/>
        <v/>
      </c>
      <c r="L676" s="21" t="str">
        <f t="shared" si="3"/>
        <v/>
      </c>
      <c r="M676" s="21" t="str">
        <f t="array" ref="M676">IF(H676="","",SUMif(year(N$2:BO$2),M$2,N676:BO676))</f>
        <v/>
      </c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</row>
    <row r="677">
      <c r="A677" s="16" t="str">
        <f t="shared" si="14"/>
        <v/>
      </c>
      <c r="B677" s="16" t="str">
        <f t="shared" si="15"/>
        <v/>
      </c>
      <c r="C677" s="35" t="str">
        <f t="shared" si="16"/>
        <v/>
      </c>
      <c r="D677" s="35" t="str">
        <f t="shared" si="17"/>
        <v/>
      </c>
      <c r="E677" s="35" t="str">
        <f t="shared" si="18"/>
        <v/>
      </c>
      <c r="F677" s="35" t="str">
        <f t="shared" si="19"/>
        <v/>
      </c>
      <c r="G677" s="35" t="str">
        <f t="shared" si="20"/>
        <v/>
      </c>
      <c r="H677" s="25"/>
      <c r="I677" s="47" t="str">
        <f t="shared" si="21"/>
        <v/>
      </c>
      <c r="J677" s="48"/>
      <c r="K677" s="21" t="str">
        <f t="shared" si="13"/>
        <v/>
      </c>
      <c r="L677" s="21" t="str">
        <f t="shared" si="3"/>
        <v/>
      </c>
      <c r="M677" s="21" t="str">
        <f t="array" ref="M677">IF(H677="","",SUMif(year(N$2:BO$2),M$2,N677:BO677))</f>
        <v/>
      </c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</row>
    <row r="678">
      <c r="A678" s="16" t="str">
        <f t="shared" si="14"/>
        <v/>
      </c>
      <c r="B678" s="16" t="str">
        <f t="shared" si="15"/>
        <v/>
      </c>
      <c r="C678" s="35" t="str">
        <f t="shared" si="16"/>
        <v/>
      </c>
      <c r="D678" s="35" t="str">
        <f t="shared" si="17"/>
        <v/>
      </c>
      <c r="E678" s="35" t="str">
        <f t="shared" si="18"/>
        <v/>
      </c>
      <c r="F678" s="35" t="str">
        <f t="shared" si="19"/>
        <v/>
      </c>
      <c r="G678" s="35" t="str">
        <f t="shared" si="20"/>
        <v/>
      </c>
      <c r="H678" s="25"/>
      <c r="I678" s="47" t="str">
        <f t="shared" si="21"/>
        <v/>
      </c>
      <c r="J678" s="48"/>
      <c r="K678" s="21" t="str">
        <f t="shared" si="13"/>
        <v/>
      </c>
      <c r="L678" s="21" t="str">
        <f t="shared" si="3"/>
        <v/>
      </c>
      <c r="M678" s="21" t="str">
        <f t="array" ref="M678">IF(H678="","",SUMif(year(N$2:BO$2),M$2,N678:BO678))</f>
        <v/>
      </c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</row>
    <row r="679">
      <c r="A679" s="16" t="str">
        <f t="shared" si="14"/>
        <v/>
      </c>
      <c r="B679" s="16" t="str">
        <f t="shared" si="15"/>
        <v/>
      </c>
      <c r="C679" s="35" t="str">
        <f t="shared" si="16"/>
        <v/>
      </c>
      <c r="D679" s="35" t="str">
        <f t="shared" si="17"/>
        <v/>
      </c>
      <c r="E679" s="35" t="str">
        <f t="shared" si="18"/>
        <v/>
      </c>
      <c r="F679" s="35" t="str">
        <f t="shared" si="19"/>
        <v/>
      </c>
      <c r="G679" s="35" t="str">
        <f t="shared" si="20"/>
        <v/>
      </c>
      <c r="H679" s="25"/>
      <c r="I679" s="47" t="str">
        <f t="shared" si="21"/>
        <v/>
      </c>
      <c r="J679" s="48"/>
      <c r="K679" s="21" t="str">
        <f t="shared" si="13"/>
        <v/>
      </c>
      <c r="L679" s="21" t="str">
        <f t="shared" si="3"/>
        <v/>
      </c>
      <c r="M679" s="21" t="str">
        <f t="array" ref="M679">IF(H679="","",SUMif(year(N$2:BO$2),M$2,N679:BO679))</f>
        <v/>
      </c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</row>
    <row r="680">
      <c r="A680" s="16" t="str">
        <f t="shared" si="14"/>
        <v/>
      </c>
      <c r="B680" s="16" t="str">
        <f t="shared" si="15"/>
        <v/>
      </c>
      <c r="C680" s="35" t="str">
        <f t="shared" si="16"/>
        <v/>
      </c>
      <c r="D680" s="35" t="str">
        <f t="shared" si="17"/>
        <v/>
      </c>
      <c r="E680" s="35" t="str">
        <f t="shared" si="18"/>
        <v/>
      </c>
      <c r="F680" s="35" t="str">
        <f t="shared" si="19"/>
        <v/>
      </c>
      <c r="G680" s="35" t="str">
        <f t="shared" si="20"/>
        <v/>
      </c>
      <c r="H680" s="25"/>
      <c r="I680" s="47" t="str">
        <f t="shared" si="21"/>
        <v/>
      </c>
      <c r="J680" s="48"/>
      <c r="K680" s="21" t="str">
        <f t="shared" si="13"/>
        <v/>
      </c>
      <c r="L680" s="21" t="str">
        <f t="shared" si="3"/>
        <v/>
      </c>
      <c r="M680" s="21" t="str">
        <f t="array" ref="M680">IF(H680="","",SUMif(year(N$2:BO$2),M$2,N680:BO680))</f>
        <v/>
      </c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</row>
    <row r="681">
      <c r="A681" s="16" t="str">
        <f t="shared" si="14"/>
        <v/>
      </c>
      <c r="B681" s="16" t="str">
        <f t="shared" si="15"/>
        <v/>
      </c>
      <c r="C681" s="35" t="str">
        <f t="shared" si="16"/>
        <v/>
      </c>
      <c r="D681" s="35" t="str">
        <f t="shared" si="17"/>
        <v/>
      </c>
      <c r="E681" s="35" t="str">
        <f t="shared" si="18"/>
        <v/>
      </c>
      <c r="F681" s="35" t="str">
        <f t="shared" si="19"/>
        <v/>
      </c>
      <c r="G681" s="35" t="str">
        <f t="shared" si="20"/>
        <v/>
      </c>
      <c r="H681" s="25"/>
      <c r="I681" s="47" t="str">
        <f t="shared" si="21"/>
        <v/>
      </c>
      <c r="J681" s="48"/>
      <c r="K681" s="21" t="str">
        <f t="shared" si="13"/>
        <v/>
      </c>
      <c r="L681" s="21" t="str">
        <f t="shared" si="3"/>
        <v/>
      </c>
      <c r="M681" s="21" t="str">
        <f t="array" ref="M681">IF(H681="","",SUMif(year(N$2:BO$2),M$2,N681:BO681))</f>
        <v/>
      </c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</row>
    <row r="682">
      <c r="A682" s="16" t="str">
        <f t="shared" si="14"/>
        <v/>
      </c>
      <c r="B682" s="16" t="str">
        <f t="shared" si="15"/>
        <v/>
      </c>
      <c r="C682" s="35" t="str">
        <f t="shared" si="16"/>
        <v/>
      </c>
      <c r="D682" s="35" t="str">
        <f t="shared" si="17"/>
        <v/>
      </c>
      <c r="E682" s="35" t="str">
        <f t="shared" si="18"/>
        <v/>
      </c>
      <c r="F682" s="35" t="str">
        <f t="shared" si="19"/>
        <v/>
      </c>
      <c r="G682" s="35" t="str">
        <f t="shared" si="20"/>
        <v/>
      </c>
      <c r="H682" s="25"/>
      <c r="I682" s="47" t="str">
        <f t="shared" si="21"/>
        <v/>
      </c>
      <c r="J682" s="48"/>
      <c r="K682" s="21" t="str">
        <f t="shared" si="13"/>
        <v/>
      </c>
      <c r="L682" s="21" t="str">
        <f t="shared" si="3"/>
        <v/>
      </c>
      <c r="M682" s="21" t="str">
        <f t="array" ref="M682">IF(H682="","",SUMif(year(N$2:BO$2),M$2,N682:BO682))</f>
        <v/>
      </c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</row>
    <row r="683">
      <c r="A683" s="16" t="str">
        <f t="shared" si="14"/>
        <v/>
      </c>
      <c r="B683" s="16" t="str">
        <f t="shared" si="15"/>
        <v/>
      </c>
      <c r="C683" s="35" t="str">
        <f t="shared" si="16"/>
        <v/>
      </c>
      <c r="D683" s="35" t="str">
        <f t="shared" si="17"/>
        <v/>
      </c>
      <c r="E683" s="35" t="str">
        <f t="shared" si="18"/>
        <v/>
      </c>
      <c r="F683" s="35" t="str">
        <f t="shared" si="19"/>
        <v/>
      </c>
      <c r="G683" s="35" t="str">
        <f t="shared" si="20"/>
        <v/>
      </c>
      <c r="H683" s="25"/>
      <c r="I683" s="47" t="str">
        <f t="shared" si="21"/>
        <v/>
      </c>
      <c r="J683" s="48"/>
      <c r="K683" s="21" t="str">
        <f t="shared" si="13"/>
        <v/>
      </c>
      <c r="L683" s="21" t="str">
        <f t="shared" si="3"/>
        <v/>
      </c>
      <c r="M683" s="21" t="str">
        <f t="array" ref="M683">IF(H683="","",SUMif(year(N$2:BO$2),M$2,N683:BO683))</f>
        <v/>
      </c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</row>
    <row r="684">
      <c r="A684" s="16" t="str">
        <f t="shared" si="14"/>
        <v/>
      </c>
      <c r="B684" s="16" t="str">
        <f t="shared" si="15"/>
        <v/>
      </c>
      <c r="C684" s="35" t="str">
        <f t="shared" si="16"/>
        <v/>
      </c>
      <c r="D684" s="35" t="str">
        <f t="shared" si="17"/>
        <v/>
      </c>
      <c r="E684" s="35" t="str">
        <f t="shared" si="18"/>
        <v/>
      </c>
      <c r="F684" s="35" t="str">
        <f t="shared" si="19"/>
        <v/>
      </c>
      <c r="G684" s="35" t="str">
        <f t="shared" si="20"/>
        <v/>
      </c>
      <c r="H684" s="25"/>
      <c r="I684" s="47" t="str">
        <f t="shared" si="21"/>
        <v/>
      </c>
      <c r="J684" s="48"/>
      <c r="K684" s="21" t="str">
        <f t="shared" si="13"/>
        <v/>
      </c>
      <c r="L684" s="21" t="str">
        <f t="shared" si="3"/>
        <v/>
      </c>
      <c r="M684" s="21" t="str">
        <f t="array" ref="M684">IF(H684="","",SUMif(year(N$2:BO$2),M$2,N684:BO684))</f>
        <v/>
      </c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</row>
    <row r="685">
      <c r="A685" s="16" t="str">
        <f t="shared" si="14"/>
        <v/>
      </c>
      <c r="B685" s="16" t="str">
        <f t="shared" si="15"/>
        <v/>
      </c>
      <c r="C685" s="35" t="str">
        <f t="shared" si="16"/>
        <v/>
      </c>
      <c r="D685" s="35" t="str">
        <f t="shared" si="17"/>
        <v/>
      </c>
      <c r="E685" s="35" t="str">
        <f t="shared" si="18"/>
        <v/>
      </c>
      <c r="F685" s="35" t="str">
        <f t="shared" si="19"/>
        <v/>
      </c>
      <c r="G685" s="35" t="str">
        <f t="shared" si="20"/>
        <v/>
      </c>
      <c r="H685" s="25"/>
      <c r="I685" s="47" t="str">
        <f t="shared" si="21"/>
        <v/>
      </c>
      <c r="J685" s="48"/>
      <c r="K685" s="21" t="str">
        <f t="shared" si="13"/>
        <v/>
      </c>
      <c r="L685" s="21" t="str">
        <f t="shared" si="3"/>
        <v/>
      </c>
      <c r="M685" s="21" t="str">
        <f t="array" ref="M685">IF(H685="","",SUMif(year(N$2:BO$2),M$2,N685:BO685))</f>
        <v/>
      </c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</row>
    <row r="686">
      <c r="A686" s="16" t="str">
        <f t="shared" si="14"/>
        <v/>
      </c>
      <c r="B686" s="16" t="str">
        <f t="shared" si="15"/>
        <v/>
      </c>
      <c r="C686" s="35" t="str">
        <f t="shared" si="16"/>
        <v/>
      </c>
      <c r="D686" s="35" t="str">
        <f t="shared" si="17"/>
        <v/>
      </c>
      <c r="E686" s="35" t="str">
        <f t="shared" si="18"/>
        <v/>
      </c>
      <c r="F686" s="35" t="str">
        <f t="shared" si="19"/>
        <v/>
      </c>
      <c r="G686" s="35" t="str">
        <f t="shared" si="20"/>
        <v/>
      </c>
      <c r="H686" s="25"/>
      <c r="I686" s="47" t="str">
        <f t="shared" si="21"/>
        <v/>
      </c>
      <c r="J686" s="48"/>
      <c r="K686" s="21" t="str">
        <f t="shared" si="13"/>
        <v/>
      </c>
      <c r="L686" s="21" t="str">
        <f t="shared" si="3"/>
        <v/>
      </c>
      <c r="M686" s="21" t="str">
        <f t="array" ref="M686">IF(H686="","",SUMif(year(N$2:BO$2),M$2,N686:BO686))</f>
        <v/>
      </c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</row>
    <row r="687">
      <c r="A687" s="16" t="str">
        <f t="shared" si="14"/>
        <v/>
      </c>
      <c r="B687" s="16" t="str">
        <f t="shared" si="15"/>
        <v/>
      </c>
      <c r="C687" s="35" t="str">
        <f t="shared" si="16"/>
        <v/>
      </c>
      <c r="D687" s="35" t="str">
        <f t="shared" si="17"/>
        <v/>
      </c>
      <c r="E687" s="35" t="str">
        <f t="shared" si="18"/>
        <v/>
      </c>
      <c r="F687" s="35" t="str">
        <f t="shared" si="19"/>
        <v/>
      </c>
      <c r="G687" s="35" t="str">
        <f t="shared" si="20"/>
        <v/>
      </c>
      <c r="H687" s="25"/>
      <c r="I687" s="47" t="str">
        <f t="shared" si="21"/>
        <v/>
      </c>
      <c r="J687" s="48"/>
      <c r="K687" s="21" t="str">
        <f t="shared" si="13"/>
        <v/>
      </c>
      <c r="L687" s="21" t="str">
        <f t="shared" si="3"/>
        <v/>
      </c>
      <c r="M687" s="21" t="str">
        <f t="array" ref="M687">IF(H687="","",SUMif(year(N$2:BO$2),M$2,N687:BO687))</f>
        <v/>
      </c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</row>
    <row r="688">
      <c r="A688" s="16" t="str">
        <f t="shared" si="14"/>
        <v/>
      </c>
      <c r="B688" s="16" t="str">
        <f t="shared" si="15"/>
        <v/>
      </c>
      <c r="C688" s="35" t="str">
        <f t="shared" si="16"/>
        <v/>
      </c>
      <c r="D688" s="35" t="str">
        <f t="shared" si="17"/>
        <v/>
      </c>
      <c r="E688" s="35" t="str">
        <f t="shared" si="18"/>
        <v/>
      </c>
      <c r="F688" s="35" t="str">
        <f t="shared" si="19"/>
        <v/>
      </c>
      <c r="G688" s="35" t="str">
        <f t="shared" si="20"/>
        <v/>
      </c>
      <c r="H688" s="25"/>
      <c r="I688" s="47" t="str">
        <f t="shared" si="21"/>
        <v/>
      </c>
      <c r="J688" s="48"/>
      <c r="K688" s="21" t="str">
        <f t="shared" si="13"/>
        <v/>
      </c>
      <c r="L688" s="21" t="str">
        <f t="shared" si="3"/>
        <v/>
      </c>
      <c r="M688" s="21" t="str">
        <f t="array" ref="M688">IF(H688="","",SUMif(year(N$2:BO$2),M$2,N688:BO688))</f>
        <v/>
      </c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</row>
    <row r="689">
      <c r="A689" s="16" t="str">
        <f t="shared" si="14"/>
        <v/>
      </c>
      <c r="B689" s="16" t="str">
        <f t="shared" si="15"/>
        <v/>
      </c>
      <c r="C689" s="35" t="str">
        <f t="shared" si="16"/>
        <v/>
      </c>
      <c r="D689" s="35" t="str">
        <f t="shared" si="17"/>
        <v/>
      </c>
      <c r="E689" s="35" t="str">
        <f t="shared" si="18"/>
        <v/>
      </c>
      <c r="F689" s="35" t="str">
        <f t="shared" si="19"/>
        <v/>
      </c>
      <c r="G689" s="35" t="str">
        <f t="shared" si="20"/>
        <v/>
      </c>
      <c r="H689" s="25"/>
      <c r="I689" s="47" t="str">
        <f t="shared" si="21"/>
        <v/>
      </c>
      <c r="J689" s="48"/>
      <c r="K689" s="21" t="str">
        <f t="shared" si="13"/>
        <v/>
      </c>
      <c r="L689" s="21" t="str">
        <f t="shared" si="3"/>
        <v/>
      </c>
      <c r="M689" s="21" t="str">
        <f t="array" ref="M689">IF(H689="","",SUMif(year(N$2:BO$2),M$2,N689:BO689))</f>
        <v/>
      </c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</row>
    <row r="690">
      <c r="A690" s="16" t="str">
        <f t="shared" si="14"/>
        <v/>
      </c>
      <c r="B690" s="16" t="str">
        <f t="shared" si="15"/>
        <v/>
      </c>
      <c r="C690" s="35" t="str">
        <f t="shared" si="16"/>
        <v/>
      </c>
      <c r="D690" s="35" t="str">
        <f t="shared" si="17"/>
        <v/>
      </c>
      <c r="E690" s="35" t="str">
        <f t="shared" si="18"/>
        <v/>
      </c>
      <c r="F690" s="35" t="str">
        <f t="shared" si="19"/>
        <v/>
      </c>
      <c r="G690" s="35" t="str">
        <f t="shared" si="20"/>
        <v/>
      </c>
      <c r="H690" s="25"/>
      <c r="I690" s="47" t="str">
        <f t="shared" si="21"/>
        <v/>
      </c>
      <c r="J690" s="48"/>
      <c r="K690" s="21" t="str">
        <f t="shared" si="13"/>
        <v/>
      </c>
      <c r="L690" s="21" t="str">
        <f t="shared" si="3"/>
        <v/>
      </c>
      <c r="M690" s="21" t="str">
        <f t="array" ref="M690">IF(H690="","",SUMif(year(N$2:BO$2),M$2,N690:BO690))</f>
        <v/>
      </c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</row>
    <row r="691">
      <c r="A691" s="16" t="str">
        <f t="shared" si="14"/>
        <v/>
      </c>
      <c r="B691" s="16" t="str">
        <f t="shared" si="15"/>
        <v/>
      </c>
      <c r="C691" s="35" t="str">
        <f t="shared" si="16"/>
        <v/>
      </c>
      <c r="D691" s="35" t="str">
        <f t="shared" si="17"/>
        <v/>
      </c>
      <c r="E691" s="35" t="str">
        <f t="shared" si="18"/>
        <v/>
      </c>
      <c r="F691" s="35" t="str">
        <f t="shared" si="19"/>
        <v/>
      </c>
      <c r="G691" s="35" t="str">
        <f t="shared" si="20"/>
        <v/>
      </c>
      <c r="H691" s="25"/>
      <c r="I691" s="47" t="str">
        <f t="shared" si="21"/>
        <v/>
      </c>
      <c r="J691" s="48"/>
      <c r="K691" s="21" t="str">
        <f t="shared" si="13"/>
        <v/>
      </c>
      <c r="L691" s="21" t="str">
        <f t="shared" si="3"/>
        <v/>
      </c>
      <c r="M691" s="21" t="str">
        <f t="array" ref="M691">IF(H691="","",SUMif(year(N$2:BO$2),M$2,N691:BO691))</f>
        <v/>
      </c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</row>
    <row r="692">
      <c r="A692" s="16" t="str">
        <f t="shared" si="14"/>
        <v/>
      </c>
      <c r="B692" s="16" t="str">
        <f t="shared" si="15"/>
        <v/>
      </c>
      <c r="C692" s="35" t="str">
        <f t="shared" si="16"/>
        <v/>
      </c>
      <c r="D692" s="35" t="str">
        <f t="shared" si="17"/>
        <v/>
      </c>
      <c r="E692" s="35" t="str">
        <f t="shared" si="18"/>
        <v/>
      </c>
      <c r="F692" s="35" t="str">
        <f t="shared" si="19"/>
        <v/>
      </c>
      <c r="G692" s="35" t="str">
        <f t="shared" si="20"/>
        <v/>
      </c>
      <c r="H692" s="25"/>
      <c r="I692" s="47" t="str">
        <f t="shared" si="21"/>
        <v/>
      </c>
      <c r="J692" s="48"/>
      <c r="K692" s="21" t="str">
        <f t="shared" si="13"/>
        <v/>
      </c>
      <c r="L692" s="21" t="str">
        <f t="shared" si="3"/>
        <v/>
      </c>
      <c r="M692" s="21" t="str">
        <f t="array" ref="M692">IF(H692="","",SUMif(year(N$2:BO$2),M$2,N692:BO692))</f>
        <v/>
      </c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</row>
    <row r="693">
      <c r="A693" s="16" t="str">
        <f t="shared" si="14"/>
        <v/>
      </c>
      <c r="B693" s="16" t="str">
        <f t="shared" si="15"/>
        <v/>
      </c>
      <c r="C693" s="35" t="str">
        <f t="shared" si="16"/>
        <v/>
      </c>
      <c r="D693" s="35" t="str">
        <f t="shared" si="17"/>
        <v/>
      </c>
      <c r="E693" s="35" t="str">
        <f t="shared" si="18"/>
        <v/>
      </c>
      <c r="F693" s="35" t="str">
        <f t="shared" si="19"/>
        <v/>
      </c>
      <c r="G693" s="35" t="str">
        <f t="shared" si="20"/>
        <v/>
      </c>
      <c r="H693" s="25"/>
      <c r="I693" s="47" t="str">
        <f t="shared" si="21"/>
        <v/>
      </c>
      <c r="J693" s="48"/>
      <c r="K693" s="21" t="str">
        <f t="shared" si="13"/>
        <v/>
      </c>
      <c r="L693" s="21" t="str">
        <f t="shared" si="3"/>
        <v/>
      </c>
      <c r="M693" s="21" t="str">
        <f t="array" ref="M693">IF(H693="","",SUMif(year(N$2:BO$2),M$2,N693:BO693))</f>
        <v/>
      </c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</row>
    <row r="694">
      <c r="A694" s="16" t="str">
        <f t="shared" si="14"/>
        <v/>
      </c>
      <c r="B694" s="16" t="str">
        <f t="shared" si="15"/>
        <v/>
      </c>
      <c r="C694" s="35" t="str">
        <f t="shared" si="16"/>
        <v/>
      </c>
      <c r="D694" s="35" t="str">
        <f t="shared" si="17"/>
        <v/>
      </c>
      <c r="E694" s="35" t="str">
        <f t="shared" si="18"/>
        <v/>
      </c>
      <c r="F694" s="35" t="str">
        <f t="shared" si="19"/>
        <v/>
      </c>
      <c r="G694" s="35" t="str">
        <f t="shared" si="20"/>
        <v/>
      </c>
      <c r="H694" s="25"/>
      <c r="I694" s="47" t="str">
        <f t="shared" si="21"/>
        <v/>
      </c>
      <c r="J694" s="48"/>
      <c r="K694" s="21" t="str">
        <f t="shared" si="13"/>
        <v/>
      </c>
      <c r="L694" s="21" t="str">
        <f t="shared" si="3"/>
        <v/>
      </c>
      <c r="M694" s="21" t="str">
        <f t="array" ref="M694">IF(H694="","",SUMif(year(N$2:BO$2),M$2,N694:BO694))</f>
        <v/>
      </c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</row>
    <row r="695">
      <c r="A695" s="16" t="str">
        <f t="shared" si="14"/>
        <v/>
      </c>
      <c r="B695" s="16" t="str">
        <f t="shared" si="15"/>
        <v/>
      </c>
      <c r="C695" s="35" t="str">
        <f t="shared" si="16"/>
        <v/>
      </c>
      <c r="D695" s="35" t="str">
        <f t="shared" si="17"/>
        <v/>
      </c>
      <c r="E695" s="35" t="str">
        <f t="shared" si="18"/>
        <v/>
      </c>
      <c r="F695" s="35" t="str">
        <f t="shared" si="19"/>
        <v/>
      </c>
      <c r="G695" s="35" t="str">
        <f t="shared" si="20"/>
        <v/>
      </c>
      <c r="H695" s="25"/>
      <c r="I695" s="47" t="str">
        <f t="shared" si="21"/>
        <v/>
      </c>
      <c r="J695" s="48"/>
      <c r="K695" s="21" t="str">
        <f t="shared" si="13"/>
        <v/>
      </c>
      <c r="L695" s="21" t="str">
        <f t="shared" si="3"/>
        <v/>
      </c>
      <c r="M695" s="21" t="str">
        <f t="array" ref="M695">IF(H695="","",SUMif(year(N$2:BO$2),M$2,N695:BO695))</f>
        <v/>
      </c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</row>
    <row r="696">
      <c r="A696" s="16" t="str">
        <f t="shared" si="14"/>
        <v/>
      </c>
      <c r="B696" s="16" t="str">
        <f t="shared" si="15"/>
        <v/>
      </c>
      <c r="C696" s="35" t="str">
        <f t="shared" si="16"/>
        <v/>
      </c>
      <c r="D696" s="35" t="str">
        <f t="shared" si="17"/>
        <v/>
      </c>
      <c r="E696" s="35" t="str">
        <f t="shared" si="18"/>
        <v/>
      </c>
      <c r="F696" s="35" t="str">
        <f t="shared" si="19"/>
        <v/>
      </c>
      <c r="G696" s="35" t="str">
        <f t="shared" si="20"/>
        <v/>
      </c>
      <c r="H696" s="25"/>
      <c r="I696" s="47" t="str">
        <f t="shared" si="21"/>
        <v/>
      </c>
      <c r="J696" s="48"/>
      <c r="K696" s="21" t="str">
        <f t="shared" si="13"/>
        <v/>
      </c>
      <c r="L696" s="21" t="str">
        <f t="shared" si="3"/>
        <v/>
      </c>
      <c r="M696" s="21" t="str">
        <f t="array" ref="M696">IF(H696="","",SUMif(year(N$2:BO$2),M$2,N696:BO696))</f>
        <v/>
      </c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</row>
    <row r="697">
      <c r="A697" s="16" t="str">
        <f t="shared" si="14"/>
        <v/>
      </c>
      <c r="B697" s="16" t="str">
        <f t="shared" si="15"/>
        <v/>
      </c>
      <c r="C697" s="35" t="str">
        <f t="shared" si="16"/>
        <v/>
      </c>
      <c r="D697" s="35" t="str">
        <f t="shared" si="17"/>
        <v/>
      </c>
      <c r="E697" s="35" t="str">
        <f t="shared" si="18"/>
        <v/>
      </c>
      <c r="F697" s="35" t="str">
        <f t="shared" si="19"/>
        <v/>
      </c>
      <c r="G697" s="35" t="str">
        <f t="shared" si="20"/>
        <v/>
      </c>
      <c r="H697" s="25"/>
      <c r="I697" s="47" t="str">
        <f t="shared" si="21"/>
        <v/>
      </c>
      <c r="J697" s="48"/>
      <c r="K697" s="21" t="str">
        <f t="shared" si="13"/>
        <v/>
      </c>
      <c r="L697" s="21" t="str">
        <f t="shared" si="3"/>
        <v/>
      </c>
      <c r="M697" s="21" t="str">
        <f t="array" ref="M697">IF(H697="","",SUMif(year(N$2:BO$2),M$2,N697:BO697))</f>
        <v/>
      </c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</row>
    <row r="698">
      <c r="A698" s="16" t="str">
        <f t="shared" si="14"/>
        <v/>
      </c>
      <c r="B698" s="16" t="str">
        <f t="shared" si="15"/>
        <v/>
      </c>
      <c r="C698" s="35" t="str">
        <f t="shared" si="16"/>
        <v/>
      </c>
      <c r="D698" s="35" t="str">
        <f t="shared" si="17"/>
        <v/>
      </c>
      <c r="E698" s="35" t="str">
        <f t="shared" si="18"/>
        <v/>
      </c>
      <c r="F698" s="35" t="str">
        <f t="shared" si="19"/>
        <v/>
      </c>
      <c r="G698" s="35" t="str">
        <f t="shared" si="20"/>
        <v/>
      </c>
      <c r="H698" s="25"/>
      <c r="I698" s="47" t="str">
        <f t="shared" si="21"/>
        <v/>
      </c>
      <c r="J698" s="48"/>
      <c r="K698" s="21" t="str">
        <f t="shared" si="13"/>
        <v/>
      </c>
      <c r="L698" s="21" t="str">
        <f t="shared" si="3"/>
        <v/>
      </c>
      <c r="M698" s="21" t="str">
        <f t="array" ref="M698">IF(H698="","",SUMif(year(N$2:BO$2),M$2,N698:BO698))</f>
        <v/>
      </c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</row>
    <row r="699">
      <c r="A699" s="16" t="str">
        <f t="shared" si="14"/>
        <v/>
      </c>
      <c r="B699" s="16" t="str">
        <f t="shared" si="15"/>
        <v/>
      </c>
      <c r="C699" s="35" t="str">
        <f t="shared" si="16"/>
        <v/>
      </c>
      <c r="D699" s="35" t="str">
        <f t="shared" si="17"/>
        <v/>
      </c>
      <c r="E699" s="35" t="str">
        <f t="shared" si="18"/>
        <v/>
      </c>
      <c r="F699" s="35" t="str">
        <f t="shared" si="19"/>
        <v/>
      </c>
      <c r="G699" s="35" t="str">
        <f t="shared" si="20"/>
        <v/>
      </c>
      <c r="H699" s="25"/>
      <c r="I699" s="47" t="str">
        <f t="shared" si="21"/>
        <v/>
      </c>
      <c r="J699" s="48"/>
      <c r="K699" s="21" t="str">
        <f t="shared" si="13"/>
        <v/>
      </c>
      <c r="L699" s="21" t="str">
        <f t="shared" si="3"/>
        <v/>
      </c>
      <c r="M699" s="21" t="str">
        <f t="array" ref="M699">IF(H699="","",SUMif(year(N$2:BO$2),M$2,N699:BO699))</f>
        <v/>
      </c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</row>
    <row r="700">
      <c r="A700" s="16" t="str">
        <f t="shared" si="14"/>
        <v/>
      </c>
      <c r="B700" s="16" t="str">
        <f t="shared" si="15"/>
        <v/>
      </c>
      <c r="C700" s="35" t="str">
        <f t="shared" si="16"/>
        <v/>
      </c>
      <c r="D700" s="35" t="str">
        <f t="shared" si="17"/>
        <v/>
      </c>
      <c r="E700" s="35" t="str">
        <f t="shared" si="18"/>
        <v/>
      </c>
      <c r="F700" s="35" t="str">
        <f t="shared" si="19"/>
        <v/>
      </c>
      <c r="G700" s="35" t="str">
        <f t="shared" si="20"/>
        <v/>
      </c>
      <c r="H700" s="25"/>
      <c r="I700" s="47" t="str">
        <f t="shared" si="21"/>
        <v/>
      </c>
      <c r="J700" s="48"/>
      <c r="K700" s="21" t="str">
        <f t="shared" si="13"/>
        <v/>
      </c>
      <c r="L700" s="21" t="str">
        <f t="shared" si="3"/>
        <v/>
      </c>
      <c r="M700" s="21" t="str">
        <f t="array" ref="M700">IF(H700="","",SUMif(year(N$2:BO$2),M$2,N700:BO700))</f>
        <v/>
      </c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</row>
    <row r="701">
      <c r="A701" s="16" t="str">
        <f t="shared" si="14"/>
        <v/>
      </c>
      <c r="B701" s="16" t="str">
        <f t="shared" si="15"/>
        <v/>
      </c>
      <c r="C701" s="35" t="str">
        <f t="shared" si="16"/>
        <v/>
      </c>
      <c r="D701" s="35" t="str">
        <f t="shared" si="17"/>
        <v/>
      </c>
      <c r="E701" s="35" t="str">
        <f t="shared" si="18"/>
        <v/>
      </c>
      <c r="F701" s="35" t="str">
        <f t="shared" si="19"/>
        <v/>
      </c>
      <c r="G701" s="35" t="str">
        <f t="shared" si="20"/>
        <v/>
      </c>
      <c r="H701" s="25"/>
      <c r="I701" s="47" t="str">
        <f t="shared" si="21"/>
        <v/>
      </c>
      <c r="J701" s="48"/>
      <c r="K701" s="21" t="str">
        <f t="shared" si="13"/>
        <v/>
      </c>
      <c r="L701" s="21" t="str">
        <f t="shared" si="3"/>
        <v/>
      </c>
      <c r="M701" s="21" t="str">
        <f t="array" ref="M701">IF(H701="","",SUMif(year(N$2:BO$2),M$2,N701:BO701))</f>
        <v/>
      </c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</row>
    <row r="702">
      <c r="A702" s="16" t="str">
        <f t="shared" si="14"/>
        <v/>
      </c>
      <c r="B702" s="16" t="str">
        <f t="shared" si="15"/>
        <v/>
      </c>
      <c r="C702" s="35" t="str">
        <f t="shared" si="16"/>
        <v/>
      </c>
      <c r="D702" s="35" t="str">
        <f t="shared" si="17"/>
        <v/>
      </c>
      <c r="E702" s="35" t="str">
        <f t="shared" si="18"/>
        <v/>
      </c>
      <c r="F702" s="35" t="str">
        <f t="shared" si="19"/>
        <v/>
      </c>
      <c r="G702" s="35" t="str">
        <f t="shared" si="20"/>
        <v/>
      </c>
      <c r="H702" s="25"/>
      <c r="I702" s="47" t="str">
        <f t="shared" si="21"/>
        <v/>
      </c>
      <c r="J702" s="48"/>
      <c r="K702" s="21" t="str">
        <f t="shared" si="13"/>
        <v/>
      </c>
      <c r="L702" s="21" t="str">
        <f t="shared" si="3"/>
        <v/>
      </c>
      <c r="M702" s="21" t="str">
        <f t="array" ref="M702">IF(H702="","",SUMif(year(N$2:BO$2),M$2,N702:BO702))</f>
        <v/>
      </c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</row>
    <row r="703">
      <c r="A703" s="16" t="str">
        <f t="shared" si="14"/>
        <v/>
      </c>
      <c r="B703" s="16" t="str">
        <f t="shared" si="15"/>
        <v/>
      </c>
      <c r="C703" s="35" t="str">
        <f t="shared" si="16"/>
        <v/>
      </c>
      <c r="D703" s="35" t="str">
        <f t="shared" si="17"/>
        <v/>
      </c>
      <c r="E703" s="35" t="str">
        <f t="shared" si="18"/>
        <v/>
      </c>
      <c r="F703" s="35" t="str">
        <f t="shared" si="19"/>
        <v/>
      </c>
      <c r="G703" s="35" t="str">
        <f t="shared" si="20"/>
        <v/>
      </c>
      <c r="H703" s="25"/>
      <c r="I703" s="47" t="str">
        <f t="shared" si="21"/>
        <v/>
      </c>
      <c r="J703" s="48"/>
      <c r="K703" s="21" t="str">
        <f t="shared" si="13"/>
        <v/>
      </c>
      <c r="L703" s="21" t="str">
        <f t="shared" si="3"/>
        <v/>
      </c>
      <c r="M703" s="21" t="str">
        <f t="array" ref="M703">IF(H703="","",SUMif(year(N$2:BO$2),M$2,N703:BO703))</f>
        <v/>
      </c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</row>
    <row r="704">
      <c r="A704" s="16" t="str">
        <f t="shared" si="14"/>
        <v/>
      </c>
      <c r="B704" s="16" t="str">
        <f t="shared" si="15"/>
        <v/>
      </c>
      <c r="C704" s="35" t="str">
        <f t="shared" si="16"/>
        <v/>
      </c>
      <c r="D704" s="35" t="str">
        <f t="shared" si="17"/>
        <v/>
      </c>
      <c r="E704" s="35" t="str">
        <f t="shared" si="18"/>
        <v/>
      </c>
      <c r="F704" s="35" t="str">
        <f t="shared" si="19"/>
        <v/>
      </c>
      <c r="G704" s="35" t="str">
        <f t="shared" si="20"/>
        <v/>
      </c>
      <c r="H704" s="25"/>
      <c r="I704" s="47" t="str">
        <f t="shared" si="21"/>
        <v/>
      </c>
      <c r="J704" s="48"/>
      <c r="K704" s="21" t="str">
        <f t="shared" si="13"/>
        <v/>
      </c>
      <c r="L704" s="21" t="str">
        <f t="shared" si="3"/>
        <v/>
      </c>
      <c r="M704" s="21" t="str">
        <f t="array" ref="M704">IF(H704="","",SUMif(year(N$2:BO$2),M$2,N704:BO704))</f>
        <v/>
      </c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</row>
    <row r="705">
      <c r="A705" s="16" t="str">
        <f t="shared" si="14"/>
        <v/>
      </c>
      <c r="B705" s="16" t="str">
        <f t="shared" si="15"/>
        <v/>
      </c>
      <c r="C705" s="35" t="str">
        <f t="shared" si="16"/>
        <v/>
      </c>
      <c r="D705" s="35" t="str">
        <f t="shared" si="17"/>
        <v/>
      </c>
      <c r="E705" s="35" t="str">
        <f t="shared" si="18"/>
        <v/>
      </c>
      <c r="F705" s="35" t="str">
        <f t="shared" si="19"/>
        <v/>
      </c>
      <c r="G705" s="35" t="str">
        <f t="shared" si="20"/>
        <v/>
      </c>
      <c r="H705" s="25"/>
      <c r="I705" s="47" t="str">
        <f t="shared" si="21"/>
        <v/>
      </c>
      <c r="J705" s="48"/>
      <c r="K705" s="21" t="str">
        <f t="shared" si="13"/>
        <v/>
      </c>
      <c r="L705" s="21" t="str">
        <f t="shared" si="3"/>
        <v/>
      </c>
      <c r="M705" s="21" t="str">
        <f t="array" ref="M705">IF(H705="","",SUMif(year(N$2:BO$2),M$2,N705:BO705))</f>
        <v/>
      </c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</row>
    <row r="706">
      <c r="A706" s="16" t="str">
        <f t="shared" si="14"/>
        <v/>
      </c>
      <c r="B706" s="16" t="str">
        <f t="shared" si="15"/>
        <v/>
      </c>
      <c r="C706" s="35" t="str">
        <f t="shared" si="16"/>
        <v/>
      </c>
      <c r="D706" s="35" t="str">
        <f t="shared" si="17"/>
        <v/>
      </c>
      <c r="E706" s="35" t="str">
        <f t="shared" si="18"/>
        <v/>
      </c>
      <c r="F706" s="35" t="str">
        <f t="shared" si="19"/>
        <v/>
      </c>
      <c r="G706" s="35" t="str">
        <f t="shared" si="20"/>
        <v/>
      </c>
      <c r="H706" s="25"/>
      <c r="I706" s="47" t="str">
        <f t="shared" si="21"/>
        <v/>
      </c>
      <c r="J706" s="48"/>
      <c r="K706" s="21" t="str">
        <f t="shared" si="13"/>
        <v/>
      </c>
      <c r="L706" s="21" t="str">
        <f t="shared" si="3"/>
        <v/>
      </c>
      <c r="M706" s="21" t="str">
        <f t="array" ref="M706">IF(H706="","",SUMif(year(N$2:BO$2),M$2,N706:BO706))</f>
        <v/>
      </c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</row>
    <row r="707">
      <c r="A707" s="16" t="str">
        <f t="shared" si="14"/>
        <v/>
      </c>
      <c r="B707" s="16" t="str">
        <f t="shared" si="15"/>
        <v/>
      </c>
      <c r="C707" s="35" t="str">
        <f t="shared" si="16"/>
        <v/>
      </c>
      <c r="D707" s="35" t="str">
        <f t="shared" si="17"/>
        <v/>
      </c>
      <c r="E707" s="35" t="str">
        <f t="shared" si="18"/>
        <v/>
      </c>
      <c r="F707" s="35" t="str">
        <f t="shared" si="19"/>
        <v/>
      </c>
      <c r="G707" s="35" t="str">
        <f t="shared" si="20"/>
        <v/>
      </c>
      <c r="H707" s="25"/>
      <c r="I707" s="47" t="str">
        <f t="shared" si="21"/>
        <v/>
      </c>
      <c r="J707" s="48"/>
      <c r="K707" s="21" t="str">
        <f t="shared" si="13"/>
        <v/>
      </c>
      <c r="L707" s="21" t="str">
        <f t="shared" si="3"/>
        <v/>
      </c>
      <c r="M707" s="21" t="str">
        <f t="array" ref="M707">IF(H707="","",SUMif(year(N$2:BO$2),M$2,N707:BO707))</f>
        <v/>
      </c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</row>
    <row r="708">
      <c r="A708" s="16" t="str">
        <f t="shared" si="14"/>
        <v/>
      </c>
      <c r="B708" s="16" t="str">
        <f t="shared" si="15"/>
        <v/>
      </c>
      <c r="C708" s="35" t="str">
        <f t="shared" si="16"/>
        <v/>
      </c>
      <c r="D708" s="35" t="str">
        <f t="shared" si="17"/>
        <v/>
      </c>
      <c r="E708" s="35" t="str">
        <f t="shared" si="18"/>
        <v/>
      </c>
      <c r="F708" s="35" t="str">
        <f t="shared" si="19"/>
        <v/>
      </c>
      <c r="G708" s="35" t="str">
        <f t="shared" si="20"/>
        <v/>
      </c>
      <c r="H708" s="25"/>
      <c r="I708" s="47" t="str">
        <f t="shared" si="21"/>
        <v/>
      </c>
      <c r="J708" s="48"/>
      <c r="K708" s="21" t="str">
        <f t="shared" si="13"/>
        <v/>
      </c>
      <c r="L708" s="21" t="str">
        <f t="shared" si="3"/>
        <v/>
      </c>
      <c r="M708" s="21" t="str">
        <f t="array" ref="M708">IF(H708="","",SUMif(year(N$2:BO$2),M$2,N708:BO708))</f>
        <v/>
      </c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</row>
    <row r="709">
      <c r="A709" s="16" t="str">
        <f t="shared" si="14"/>
        <v/>
      </c>
      <c r="B709" s="16" t="str">
        <f t="shared" si="15"/>
        <v/>
      </c>
      <c r="C709" s="35" t="str">
        <f t="shared" si="16"/>
        <v/>
      </c>
      <c r="D709" s="35" t="str">
        <f t="shared" si="17"/>
        <v/>
      </c>
      <c r="E709" s="35" t="str">
        <f t="shared" si="18"/>
        <v/>
      </c>
      <c r="F709" s="35" t="str">
        <f t="shared" si="19"/>
        <v/>
      </c>
      <c r="G709" s="35" t="str">
        <f t="shared" si="20"/>
        <v/>
      </c>
      <c r="H709" s="25"/>
      <c r="I709" s="47" t="str">
        <f t="shared" si="21"/>
        <v/>
      </c>
      <c r="J709" s="48"/>
      <c r="K709" s="21" t="str">
        <f t="shared" si="13"/>
        <v/>
      </c>
      <c r="L709" s="21" t="str">
        <f t="shared" si="3"/>
        <v/>
      </c>
      <c r="M709" s="21" t="str">
        <f t="array" ref="M709">IF(H709="","",SUMif(year(N$2:BO$2),M$2,N709:BO709))</f>
        <v/>
      </c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</row>
    <row r="710">
      <c r="A710" s="16" t="str">
        <f t="shared" si="14"/>
        <v/>
      </c>
      <c r="B710" s="16" t="str">
        <f t="shared" si="15"/>
        <v/>
      </c>
      <c r="C710" s="35" t="str">
        <f t="shared" si="16"/>
        <v/>
      </c>
      <c r="D710" s="35" t="str">
        <f t="shared" si="17"/>
        <v/>
      </c>
      <c r="E710" s="35" t="str">
        <f t="shared" si="18"/>
        <v/>
      </c>
      <c r="F710" s="35" t="str">
        <f t="shared" si="19"/>
        <v/>
      </c>
      <c r="G710" s="35" t="str">
        <f t="shared" si="20"/>
        <v/>
      </c>
      <c r="H710" s="25"/>
      <c r="I710" s="47" t="str">
        <f t="shared" si="21"/>
        <v/>
      </c>
      <c r="J710" s="48"/>
      <c r="K710" s="21" t="str">
        <f t="shared" si="13"/>
        <v/>
      </c>
      <c r="L710" s="21" t="str">
        <f t="shared" si="3"/>
        <v/>
      </c>
      <c r="M710" s="21" t="str">
        <f t="array" ref="M710">IF(H710="","",SUMif(year(N$2:BO$2),M$2,N710:BO710))</f>
        <v/>
      </c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</row>
    <row r="711">
      <c r="A711" s="16" t="str">
        <f t="shared" si="14"/>
        <v/>
      </c>
      <c r="B711" s="16" t="str">
        <f t="shared" si="15"/>
        <v/>
      </c>
      <c r="C711" s="35" t="str">
        <f t="shared" si="16"/>
        <v/>
      </c>
      <c r="D711" s="35" t="str">
        <f t="shared" si="17"/>
        <v/>
      </c>
      <c r="E711" s="35" t="str">
        <f t="shared" si="18"/>
        <v/>
      </c>
      <c r="F711" s="35" t="str">
        <f t="shared" si="19"/>
        <v/>
      </c>
      <c r="G711" s="35" t="str">
        <f t="shared" si="20"/>
        <v/>
      </c>
      <c r="H711" s="25"/>
      <c r="I711" s="47" t="str">
        <f t="shared" si="21"/>
        <v/>
      </c>
      <c r="J711" s="48"/>
      <c r="K711" s="21" t="str">
        <f t="shared" si="13"/>
        <v/>
      </c>
      <c r="L711" s="21" t="str">
        <f t="shared" si="3"/>
        <v/>
      </c>
      <c r="M711" s="21" t="str">
        <f t="array" ref="M711">IF(H711="","",SUMif(year(N$2:BO$2),M$2,N711:BO711))</f>
        <v/>
      </c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</row>
    <row r="712">
      <c r="A712" s="16" t="str">
        <f t="shared" si="14"/>
        <v/>
      </c>
      <c r="B712" s="16" t="str">
        <f t="shared" si="15"/>
        <v/>
      </c>
      <c r="C712" s="35" t="str">
        <f t="shared" si="16"/>
        <v/>
      </c>
      <c r="D712" s="35" t="str">
        <f t="shared" si="17"/>
        <v/>
      </c>
      <c r="E712" s="35" t="str">
        <f t="shared" si="18"/>
        <v/>
      </c>
      <c r="F712" s="35" t="str">
        <f t="shared" si="19"/>
        <v/>
      </c>
      <c r="G712" s="35" t="str">
        <f t="shared" si="20"/>
        <v/>
      </c>
      <c r="H712" s="25"/>
      <c r="I712" s="47" t="str">
        <f t="shared" si="21"/>
        <v/>
      </c>
      <c r="J712" s="48"/>
      <c r="K712" s="21" t="str">
        <f t="shared" si="13"/>
        <v/>
      </c>
      <c r="L712" s="21" t="str">
        <f t="shared" si="3"/>
        <v/>
      </c>
      <c r="M712" s="21" t="str">
        <f t="array" ref="M712">IF(H712="","",SUMif(year(N$2:BO$2),M$2,N712:BO712))</f>
        <v/>
      </c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</row>
    <row r="713">
      <c r="A713" s="16" t="str">
        <f t="shared" si="14"/>
        <v/>
      </c>
      <c r="B713" s="16" t="str">
        <f t="shared" si="15"/>
        <v/>
      </c>
      <c r="C713" s="35" t="str">
        <f t="shared" si="16"/>
        <v/>
      </c>
      <c r="D713" s="35" t="str">
        <f t="shared" si="17"/>
        <v/>
      </c>
      <c r="E713" s="35" t="str">
        <f t="shared" si="18"/>
        <v/>
      </c>
      <c r="F713" s="35" t="str">
        <f t="shared" si="19"/>
        <v/>
      </c>
      <c r="G713" s="35" t="str">
        <f t="shared" si="20"/>
        <v/>
      </c>
      <c r="H713" s="25"/>
      <c r="I713" s="47" t="str">
        <f t="shared" si="21"/>
        <v/>
      </c>
      <c r="J713" s="48"/>
      <c r="K713" s="21" t="str">
        <f t="shared" si="13"/>
        <v/>
      </c>
      <c r="L713" s="21" t="str">
        <f t="shared" si="3"/>
        <v/>
      </c>
      <c r="M713" s="21" t="str">
        <f t="array" ref="M713">IF(H713="","",SUMif(year(N$2:BO$2),M$2,N713:BO713))</f>
        <v/>
      </c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</row>
    <row r="714">
      <c r="A714" s="16" t="str">
        <f t="shared" si="14"/>
        <v/>
      </c>
      <c r="B714" s="16" t="str">
        <f t="shared" si="15"/>
        <v/>
      </c>
      <c r="C714" s="35" t="str">
        <f t="shared" si="16"/>
        <v/>
      </c>
      <c r="D714" s="35" t="str">
        <f t="shared" si="17"/>
        <v/>
      </c>
      <c r="E714" s="35" t="str">
        <f t="shared" si="18"/>
        <v/>
      </c>
      <c r="F714" s="35" t="str">
        <f t="shared" si="19"/>
        <v/>
      </c>
      <c r="G714" s="35" t="str">
        <f t="shared" si="20"/>
        <v/>
      </c>
      <c r="H714" s="25"/>
      <c r="I714" s="47" t="str">
        <f t="shared" si="21"/>
        <v/>
      </c>
      <c r="J714" s="48"/>
      <c r="K714" s="21" t="str">
        <f t="shared" si="13"/>
        <v/>
      </c>
      <c r="L714" s="21" t="str">
        <f t="shared" si="3"/>
        <v/>
      </c>
      <c r="M714" s="21" t="str">
        <f t="array" ref="M714">IF(H714="","",SUMif(year(N$2:BO$2),M$2,N714:BO714))</f>
        <v/>
      </c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</row>
    <row r="715">
      <c r="A715" s="16" t="str">
        <f t="shared" si="14"/>
        <v/>
      </c>
      <c r="B715" s="16" t="str">
        <f t="shared" si="15"/>
        <v/>
      </c>
      <c r="C715" s="35" t="str">
        <f t="shared" si="16"/>
        <v/>
      </c>
      <c r="D715" s="35" t="str">
        <f t="shared" si="17"/>
        <v/>
      </c>
      <c r="E715" s="35" t="str">
        <f t="shared" si="18"/>
        <v/>
      </c>
      <c r="F715" s="35" t="str">
        <f t="shared" si="19"/>
        <v/>
      </c>
      <c r="G715" s="35" t="str">
        <f t="shared" si="20"/>
        <v/>
      </c>
      <c r="H715" s="25"/>
      <c r="I715" s="47" t="str">
        <f t="shared" si="21"/>
        <v/>
      </c>
      <c r="J715" s="48"/>
      <c r="K715" s="21" t="str">
        <f t="shared" si="13"/>
        <v/>
      </c>
      <c r="L715" s="21" t="str">
        <f t="shared" si="3"/>
        <v/>
      </c>
      <c r="M715" s="21" t="str">
        <f t="array" ref="M715">IF(H715="","",SUMif(year(N$2:BO$2),M$2,N715:BO715))</f>
        <v/>
      </c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</row>
    <row r="716">
      <c r="A716" s="16" t="str">
        <f t="shared" si="14"/>
        <v/>
      </c>
      <c r="B716" s="16" t="str">
        <f t="shared" si="15"/>
        <v/>
      </c>
      <c r="C716" s="35" t="str">
        <f t="shared" si="16"/>
        <v/>
      </c>
      <c r="D716" s="35" t="str">
        <f t="shared" si="17"/>
        <v/>
      </c>
      <c r="E716" s="35" t="str">
        <f t="shared" si="18"/>
        <v/>
      </c>
      <c r="F716" s="35" t="str">
        <f t="shared" si="19"/>
        <v/>
      </c>
      <c r="G716" s="35" t="str">
        <f t="shared" si="20"/>
        <v/>
      </c>
      <c r="H716" s="25"/>
      <c r="I716" s="47" t="str">
        <f t="shared" si="21"/>
        <v/>
      </c>
      <c r="J716" s="48"/>
      <c r="K716" s="21" t="str">
        <f t="shared" si="13"/>
        <v/>
      </c>
      <c r="L716" s="21" t="str">
        <f t="shared" si="3"/>
        <v/>
      </c>
      <c r="M716" s="21" t="str">
        <f t="array" ref="M716">IF(H716="","",SUMif(year(N$2:BO$2),M$2,N716:BO716))</f>
        <v/>
      </c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</row>
    <row r="717">
      <c r="A717" s="16" t="str">
        <f t="shared" si="14"/>
        <v/>
      </c>
      <c r="B717" s="16" t="str">
        <f t="shared" si="15"/>
        <v/>
      </c>
      <c r="C717" s="35" t="str">
        <f t="shared" si="16"/>
        <v/>
      </c>
      <c r="D717" s="35" t="str">
        <f t="shared" si="17"/>
        <v/>
      </c>
      <c r="E717" s="35" t="str">
        <f t="shared" si="18"/>
        <v/>
      </c>
      <c r="F717" s="35" t="str">
        <f t="shared" si="19"/>
        <v/>
      </c>
      <c r="G717" s="35" t="str">
        <f t="shared" si="20"/>
        <v/>
      </c>
      <c r="H717" s="25"/>
      <c r="I717" s="47" t="str">
        <f t="shared" si="21"/>
        <v/>
      </c>
      <c r="J717" s="48"/>
      <c r="K717" s="21" t="str">
        <f t="shared" si="13"/>
        <v/>
      </c>
      <c r="L717" s="21" t="str">
        <f t="shared" si="3"/>
        <v/>
      </c>
      <c r="M717" s="21" t="str">
        <f t="array" ref="M717">IF(H717="","",SUMif(year(N$2:BO$2),M$2,N717:BO717))</f>
        <v/>
      </c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</row>
    <row r="718">
      <c r="A718" s="16" t="str">
        <f t="shared" si="14"/>
        <v/>
      </c>
      <c r="B718" s="16" t="str">
        <f t="shared" si="15"/>
        <v/>
      </c>
      <c r="C718" s="35" t="str">
        <f t="shared" si="16"/>
        <v/>
      </c>
      <c r="D718" s="35" t="str">
        <f t="shared" si="17"/>
        <v/>
      </c>
      <c r="E718" s="35" t="str">
        <f t="shared" si="18"/>
        <v/>
      </c>
      <c r="F718" s="35" t="str">
        <f t="shared" si="19"/>
        <v/>
      </c>
      <c r="G718" s="35" t="str">
        <f t="shared" si="20"/>
        <v/>
      </c>
      <c r="H718" s="25"/>
      <c r="I718" s="47" t="str">
        <f t="shared" si="21"/>
        <v/>
      </c>
      <c r="J718" s="48"/>
      <c r="K718" s="21" t="str">
        <f t="shared" si="13"/>
        <v/>
      </c>
      <c r="L718" s="21" t="str">
        <f t="shared" si="3"/>
        <v/>
      </c>
      <c r="M718" s="21" t="str">
        <f t="array" ref="M718">IF(H718="","",SUMif(year(N$2:BO$2),M$2,N718:BO718))</f>
        <v/>
      </c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</row>
    <row r="719">
      <c r="A719" s="16" t="str">
        <f t="shared" si="14"/>
        <v/>
      </c>
      <c r="B719" s="16" t="str">
        <f t="shared" si="15"/>
        <v/>
      </c>
      <c r="C719" s="35" t="str">
        <f t="shared" si="16"/>
        <v/>
      </c>
      <c r="D719" s="35" t="str">
        <f t="shared" si="17"/>
        <v/>
      </c>
      <c r="E719" s="35" t="str">
        <f t="shared" si="18"/>
        <v/>
      </c>
      <c r="F719" s="35" t="str">
        <f t="shared" si="19"/>
        <v/>
      </c>
      <c r="G719" s="35" t="str">
        <f t="shared" si="20"/>
        <v/>
      </c>
      <c r="H719" s="25"/>
      <c r="I719" s="47" t="str">
        <f t="shared" si="21"/>
        <v/>
      </c>
      <c r="J719" s="48"/>
      <c r="K719" s="21" t="str">
        <f t="shared" si="13"/>
        <v/>
      </c>
      <c r="L719" s="21" t="str">
        <f t="shared" si="3"/>
        <v/>
      </c>
      <c r="M719" s="21" t="str">
        <f t="array" ref="M719">IF(H719="","",SUMif(year(N$2:BO$2),M$2,N719:BO719))</f>
        <v/>
      </c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</row>
    <row r="720">
      <c r="A720" s="16" t="str">
        <f t="shared" si="14"/>
        <v/>
      </c>
      <c r="B720" s="16" t="str">
        <f t="shared" si="15"/>
        <v/>
      </c>
      <c r="C720" s="35" t="str">
        <f t="shared" si="16"/>
        <v/>
      </c>
      <c r="D720" s="35" t="str">
        <f t="shared" si="17"/>
        <v/>
      </c>
      <c r="E720" s="35" t="str">
        <f t="shared" si="18"/>
        <v/>
      </c>
      <c r="F720" s="35" t="str">
        <f t="shared" si="19"/>
        <v/>
      </c>
      <c r="G720" s="35" t="str">
        <f t="shared" si="20"/>
        <v/>
      </c>
      <c r="H720" s="25"/>
      <c r="I720" s="47" t="str">
        <f t="shared" si="21"/>
        <v/>
      </c>
      <c r="J720" s="48"/>
      <c r="K720" s="21" t="str">
        <f t="shared" si="13"/>
        <v/>
      </c>
      <c r="L720" s="21" t="str">
        <f t="shared" si="3"/>
        <v/>
      </c>
      <c r="M720" s="21" t="str">
        <f t="array" ref="M720">IF(H720="","",SUMif(year(N$2:BO$2),M$2,N720:BO720))</f>
        <v/>
      </c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</row>
    <row r="721">
      <c r="A721" s="16" t="str">
        <f t="shared" si="14"/>
        <v/>
      </c>
      <c r="B721" s="16" t="str">
        <f t="shared" si="15"/>
        <v/>
      </c>
      <c r="C721" s="35" t="str">
        <f t="shared" si="16"/>
        <v/>
      </c>
      <c r="D721" s="35" t="str">
        <f t="shared" si="17"/>
        <v/>
      </c>
      <c r="E721" s="35" t="str">
        <f t="shared" si="18"/>
        <v/>
      </c>
      <c r="F721" s="35" t="str">
        <f t="shared" si="19"/>
        <v/>
      </c>
      <c r="G721" s="35" t="str">
        <f t="shared" si="20"/>
        <v/>
      </c>
      <c r="H721" s="25"/>
      <c r="I721" s="47" t="str">
        <f t="shared" si="21"/>
        <v/>
      </c>
      <c r="J721" s="48"/>
      <c r="K721" s="21" t="str">
        <f t="shared" si="13"/>
        <v/>
      </c>
      <c r="L721" s="21" t="str">
        <f t="shared" si="3"/>
        <v/>
      </c>
      <c r="M721" s="21" t="str">
        <f t="array" ref="M721">IF(H721="","",SUMif(year(N$2:BO$2),M$2,N721:BO721))</f>
        <v/>
      </c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</row>
    <row r="722">
      <c r="A722" s="16" t="str">
        <f t="shared" si="14"/>
        <v/>
      </c>
      <c r="B722" s="16" t="str">
        <f t="shared" si="15"/>
        <v/>
      </c>
      <c r="C722" s="35" t="str">
        <f t="shared" si="16"/>
        <v/>
      </c>
      <c r="D722" s="35" t="str">
        <f t="shared" si="17"/>
        <v/>
      </c>
      <c r="E722" s="35" t="str">
        <f t="shared" si="18"/>
        <v/>
      </c>
      <c r="F722" s="35" t="str">
        <f t="shared" si="19"/>
        <v/>
      </c>
      <c r="G722" s="35" t="str">
        <f t="shared" si="20"/>
        <v/>
      </c>
      <c r="H722" s="25"/>
      <c r="I722" s="47" t="str">
        <f t="shared" si="21"/>
        <v/>
      </c>
      <c r="J722" s="48"/>
      <c r="K722" s="21" t="str">
        <f t="shared" si="13"/>
        <v/>
      </c>
      <c r="L722" s="21" t="str">
        <f t="shared" si="3"/>
        <v/>
      </c>
      <c r="M722" s="21" t="str">
        <f t="array" ref="M722">IF(H722="","",SUMif(year(N$2:BO$2),M$2,N722:BO722))</f>
        <v/>
      </c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</row>
    <row r="723">
      <c r="A723" s="16" t="str">
        <f t="shared" si="14"/>
        <v/>
      </c>
      <c r="B723" s="16" t="str">
        <f t="shared" si="15"/>
        <v/>
      </c>
      <c r="C723" s="35" t="str">
        <f t="shared" si="16"/>
        <v/>
      </c>
      <c r="D723" s="35" t="str">
        <f t="shared" si="17"/>
        <v/>
      </c>
      <c r="E723" s="35" t="str">
        <f t="shared" si="18"/>
        <v/>
      </c>
      <c r="F723" s="35" t="str">
        <f t="shared" si="19"/>
        <v/>
      </c>
      <c r="G723" s="35" t="str">
        <f t="shared" si="20"/>
        <v/>
      </c>
      <c r="H723" s="25"/>
      <c r="I723" s="47" t="str">
        <f t="shared" si="21"/>
        <v/>
      </c>
      <c r="J723" s="48"/>
      <c r="K723" s="21" t="str">
        <f t="shared" si="13"/>
        <v/>
      </c>
      <c r="L723" s="21" t="str">
        <f t="shared" si="3"/>
        <v/>
      </c>
      <c r="M723" s="21" t="str">
        <f t="array" ref="M723">IF(H723="","",SUMif(year(N$2:BO$2),M$2,N723:BO723))</f>
        <v/>
      </c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</row>
    <row r="724">
      <c r="A724" s="16" t="str">
        <f t="shared" si="14"/>
        <v/>
      </c>
      <c r="B724" s="16" t="str">
        <f t="shared" si="15"/>
        <v/>
      </c>
      <c r="C724" s="35" t="str">
        <f t="shared" si="16"/>
        <v/>
      </c>
      <c r="D724" s="35" t="str">
        <f t="shared" si="17"/>
        <v/>
      </c>
      <c r="E724" s="35" t="str">
        <f t="shared" si="18"/>
        <v/>
      </c>
      <c r="F724" s="35" t="str">
        <f t="shared" si="19"/>
        <v/>
      </c>
      <c r="G724" s="35" t="str">
        <f t="shared" si="20"/>
        <v/>
      </c>
      <c r="H724" s="25"/>
      <c r="I724" s="47" t="str">
        <f t="shared" si="21"/>
        <v/>
      </c>
      <c r="J724" s="48"/>
      <c r="K724" s="21" t="str">
        <f t="shared" si="13"/>
        <v/>
      </c>
      <c r="L724" s="21" t="str">
        <f t="shared" si="3"/>
        <v/>
      </c>
      <c r="M724" s="21" t="str">
        <f t="array" ref="M724">IF(H724="","",SUMif(year(N$2:BO$2),M$2,N724:BO724))</f>
        <v/>
      </c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</row>
    <row r="725">
      <c r="A725" s="16" t="str">
        <f t="shared" si="14"/>
        <v/>
      </c>
      <c r="B725" s="16" t="str">
        <f t="shared" si="15"/>
        <v/>
      </c>
      <c r="C725" s="35" t="str">
        <f t="shared" si="16"/>
        <v/>
      </c>
      <c r="D725" s="35" t="str">
        <f t="shared" si="17"/>
        <v/>
      </c>
      <c r="E725" s="35" t="str">
        <f t="shared" si="18"/>
        <v/>
      </c>
      <c r="F725" s="35" t="str">
        <f t="shared" si="19"/>
        <v/>
      </c>
      <c r="G725" s="35" t="str">
        <f t="shared" si="20"/>
        <v/>
      </c>
      <c r="H725" s="25"/>
      <c r="I725" s="47" t="str">
        <f t="shared" si="21"/>
        <v/>
      </c>
      <c r="J725" s="48"/>
      <c r="K725" s="21" t="str">
        <f t="shared" si="13"/>
        <v/>
      </c>
      <c r="L725" s="21" t="str">
        <f t="shared" si="3"/>
        <v/>
      </c>
      <c r="M725" s="21" t="str">
        <f t="array" ref="M725">IF(H725="","",SUMif(year(N$2:BO$2),M$2,N725:BO725))</f>
        <v/>
      </c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</row>
    <row r="726">
      <c r="A726" s="16" t="str">
        <f t="shared" si="14"/>
        <v/>
      </c>
      <c r="B726" s="16" t="str">
        <f t="shared" si="15"/>
        <v/>
      </c>
      <c r="C726" s="35" t="str">
        <f t="shared" si="16"/>
        <v/>
      </c>
      <c r="D726" s="35" t="str">
        <f t="shared" si="17"/>
        <v/>
      </c>
      <c r="E726" s="35" t="str">
        <f t="shared" si="18"/>
        <v/>
      </c>
      <c r="F726" s="35" t="str">
        <f t="shared" si="19"/>
        <v/>
      </c>
      <c r="G726" s="35" t="str">
        <f t="shared" si="20"/>
        <v/>
      </c>
      <c r="H726" s="25"/>
      <c r="I726" s="47" t="str">
        <f t="shared" si="21"/>
        <v/>
      </c>
      <c r="J726" s="48"/>
      <c r="K726" s="21" t="str">
        <f t="shared" si="13"/>
        <v/>
      </c>
      <c r="L726" s="21" t="str">
        <f t="shared" si="3"/>
        <v/>
      </c>
      <c r="M726" s="21" t="str">
        <f t="array" ref="M726">IF(H726="","",SUMif(year(N$2:BO$2),M$2,N726:BO726))</f>
        <v/>
      </c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</row>
    <row r="727">
      <c r="A727" s="16" t="str">
        <f t="shared" si="14"/>
        <v/>
      </c>
      <c r="B727" s="16" t="str">
        <f t="shared" si="15"/>
        <v/>
      </c>
      <c r="C727" s="35" t="str">
        <f t="shared" si="16"/>
        <v/>
      </c>
      <c r="D727" s="35" t="str">
        <f t="shared" si="17"/>
        <v/>
      </c>
      <c r="E727" s="35" t="str">
        <f t="shared" si="18"/>
        <v/>
      </c>
      <c r="F727" s="35" t="str">
        <f t="shared" si="19"/>
        <v/>
      </c>
      <c r="G727" s="35" t="str">
        <f t="shared" si="20"/>
        <v/>
      </c>
      <c r="H727" s="25"/>
      <c r="I727" s="47" t="str">
        <f t="shared" si="21"/>
        <v/>
      </c>
      <c r="J727" s="48"/>
      <c r="K727" s="21" t="str">
        <f t="shared" si="13"/>
        <v/>
      </c>
      <c r="L727" s="21" t="str">
        <f t="shared" si="3"/>
        <v/>
      </c>
      <c r="M727" s="21" t="str">
        <f t="array" ref="M727">IF(H727="","",SUMif(year(N$2:BO$2),M$2,N727:BO727))</f>
        <v/>
      </c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</row>
    <row r="728">
      <c r="A728" s="16" t="str">
        <f t="shared" si="14"/>
        <v/>
      </c>
      <c r="B728" s="16" t="str">
        <f t="shared" si="15"/>
        <v/>
      </c>
      <c r="C728" s="35" t="str">
        <f t="shared" si="16"/>
        <v/>
      </c>
      <c r="D728" s="35" t="str">
        <f t="shared" si="17"/>
        <v/>
      </c>
      <c r="E728" s="35" t="str">
        <f t="shared" si="18"/>
        <v/>
      </c>
      <c r="F728" s="35" t="str">
        <f t="shared" si="19"/>
        <v/>
      </c>
      <c r="G728" s="35" t="str">
        <f t="shared" si="20"/>
        <v/>
      </c>
      <c r="H728" s="25"/>
      <c r="I728" s="47" t="str">
        <f t="shared" si="21"/>
        <v/>
      </c>
      <c r="J728" s="48"/>
      <c r="K728" s="21" t="str">
        <f t="shared" si="13"/>
        <v/>
      </c>
      <c r="L728" s="21" t="str">
        <f t="shared" si="3"/>
        <v/>
      </c>
      <c r="M728" s="21" t="str">
        <f t="array" ref="M728">IF(H728="","",SUMif(year(N$2:BO$2),M$2,N728:BO728))</f>
        <v/>
      </c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</row>
    <row r="729">
      <c r="A729" s="16" t="str">
        <f t="shared" si="14"/>
        <v/>
      </c>
      <c r="B729" s="16" t="str">
        <f t="shared" si="15"/>
        <v/>
      </c>
      <c r="C729" s="35" t="str">
        <f t="shared" si="16"/>
        <v/>
      </c>
      <c r="D729" s="35" t="str">
        <f t="shared" si="17"/>
        <v/>
      </c>
      <c r="E729" s="35" t="str">
        <f t="shared" si="18"/>
        <v/>
      </c>
      <c r="F729" s="35" t="str">
        <f t="shared" si="19"/>
        <v/>
      </c>
      <c r="G729" s="35" t="str">
        <f t="shared" si="20"/>
        <v/>
      </c>
      <c r="H729" s="25"/>
      <c r="I729" s="47" t="str">
        <f t="shared" si="21"/>
        <v/>
      </c>
      <c r="J729" s="48"/>
      <c r="K729" s="21" t="str">
        <f t="shared" si="13"/>
        <v/>
      </c>
      <c r="L729" s="21" t="str">
        <f t="shared" si="3"/>
        <v/>
      </c>
      <c r="M729" s="21" t="str">
        <f t="array" ref="M729">IF(H729="","",SUMif(year(N$2:BO$2),M$2,N729:BO729))</f>
        <v/>
      </c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</row>
    <row r="730">
      <c r="A730" s="16" t="str">
        <f t="shared" si="14"/>
        <v/>
      </c>
      <c r="B730" s="16" t="str">
        <f t="shared" si="15"/>
        <v/>
      </c>
      <c r="C730" s="35" t="str">
        <f t="shared" si="16"/>
        <v/>
      </c>
      <c r="D730" s="35" t="str">
        <f t="shared" si="17"/>
        <v/>
      </c>
      <c r="E730" s="35" t="str">
        <f t="shared" si="18"/>
        <v/>
      </c>
      <c r="F730" s="35" t="str">
        <f t="shared" si="19"/>
        <v/>
      </c>
      <c r="G730" s="35" t="str">
        <f t="shared" si="20"/>
        <v/>
      </c>
      <c r="H730" s="25"/>
      <c r="I730" s="47" t="str">
        <f t="shared" si="21"/>
        <v/>
      </c>
      <c r="J730" s="48"/>
      <c r="K730" s="21" t="str">
        <f t="shared" si="13"/>
        <v/>
      </c>
      <c r="L730" s="21" t="str">
        <f t="shared" si="3"/>
        <v/>
      </c>
      <c r="M730" s="21" t="str">
        <f t="array" ref="M730">IF(H730="","",SUMif(year(N$2:BO$2),M$2,N730:BO730))</f>
        <v/>
      </c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</row>
    <row r="731">
      <c r="A731" s="16" t="str">
        <f t="shared" si="14"/>
        <v/>
      </c>
      <c r="B731" s="16" t="str">
        <f t="shared" si="15"/>
        <v/>
      </c>
      <c r="C731" s="35" t="str">
        <f t="shared" si="16"/>
        <v/>
      </c>
      <c r="D731" s="35" t="str">
        <f t="shared" si="17"/>
        <v/>
      </c>
      <c r="E731" s="35" t="str">
        <f t="shared" si="18"/>
        <v/>
      </c>
      <c r="F731" s="35" t="str">
        <f t="shared" si="19"/>
        <v/>
      </c>
      <c r="G731" s="35" t="str">
        <f t="shared" si="20"/>
        <v/>
      </c>
      <c r="H731" s="25"/>
      <c r="I731" s="47" t="str">
        <f t="shared" si="21"/>
        <v/>
      </c>
      <c r="J731" s="48"/>
      <c r="K731" s="21" t="str">
        <f t="shared" si="13"/>
        <v/>
      </c>
      <c r="L731" s="21" t="str">
        <f t="shared" si="3"/>
        <v/>
      </c>
      <c r="M731" s="21" t="str">
        <f t="array" ref="M731">IF(H731="","",SUMif(year(N$2:BO$2),M$2,N731:BO731))</f>
        <v/>
      </c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</row>
    <row r="732">
      <c r="A732" s="16" t="str">
        <f t="shared" si="14"/>
        <v/>
      </c>
      <c r="B732" s="16" t="str">
        <f t="shared" si="15"/>
        <v/>
      </c>
      <c r="C732" s="35" t="str">
        <f t="shared" si="16"/>
        <v/>
      </c>
      <c r="D732" s="35" t="str">
        <f t="shared" si="17"/>
        <v/>
      </c>
      <c r="E732" s="35" t="str">
        <f t="shared" si="18"/>
        <v/>
      </c>
      <c r="F732" s="35" t="str">
        <f t="shared" si="19"/>
        <v/>
      </c>
      <c r="G732" s="35" t="str">
        <f t="shared" si="20"/>
        <v/>
      </c>
      <c r="H732" s="25"/>
      <c r="I732" s="47" t="str">
        <f t="shared" si="21"/>
        <v/>
      </c>
      <c r="J732" s="48"/>
      <c r="K732" s="21" t="str">
        <f t="shared" si="13"/>
        <v/>
      </c>
      <c r="L732" s="21" t="str">
        <f t="shared" si="3"/>
        <v/>
      </c>
      <c r="M732" s="21" t="str">
        <f t="array" ref="M732">IF(H732="","",SUMif(year(N$2:BO$2),M$2,N732:BO732))</f>
        <v/>
      </c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</row>
    <row r="733">
      <c r="A733" s="16" t="str">
        <f t="shared" si="14"/>
        <v/>
      </c>
      <c r="B733" s="16" t="str">
        <f t="shared" si="15"/>
        <v/>
      </c>
      <c r="C733" s="35" t="str">
        <f t="shared" si="16"/>
        <v/>
      </c>
      <c r="D733" s="35" t="str">
        <f t="shared" si="17"/>
        <v/>
      </c>
      <c r="E733" s="35" t="str">
        <f t="shared" si="18"/>
        <v/>
      </c>
      <c r="F733" s="35" t="str">
        <f t="shared" si="19"/>
        <v/>
      </c>
      <c r="G733" s="35" t="str">
        <f t="shared" si="20"/>
        <v/>
      </c>
      <c r="H733" s="25"/>
      <c r="I733" s="47" t="str">
        <f t="shared" si="21"/>
        <v/>
      </c>
      <c r="J733" s="48"/>
      <c r="K733" s="21" t="str">
        <f t="shared" si="13"/>
        <v/>
      </c>
      <c r="L733" s="21" t="str">
        <f t="shared" si="3"/>
        <v/>
      </c>
      <c r="M733" s="21" t="str">
        <f t="array" ref="M733">IF(H733="","",SUMif(year(N$2:BO$2),M$2,N733:BO733))</f>
        <v/>
      </c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</row>
    <row r="734">
      <c r="A734" s="16" t="str">
        <f t="shared" si="14"/>
        <v/>
      </c>
      <c r="B734" s="16" t="str">
        <f t="shared" si="15"/>
        <v/>
      </c>
      <c r="C734" s="35" t="str">
        <f t="shared" si="16"/>
        <v/>
      </c>
      <c r="D734" s="35" t="str">
        <f t="shared" si="17"/>
        <v/>
      </c>
      <c r="E734" s="35" t="str">
        <f t="shared" si="18"/>
        <v/>
      </c>
      <c r="F734" s="35" t="str">
        <f t="shared" si="19"/>
        <v/>
      </c>
      <c r="G734" s="35" t="str">
        <f t="shared" si="20"/>
        <v/>
      </c>
      <c r="H734" s="25"/>
      <c r="I734" s="47" t="str">
        <f t="shared" si="21"/>
        <v/>
      </c>
      <c r="J734" s="48"/>
      <c r="K734" s="21" t="str">
        <f t="shared" si="13"/>
        <v/>
      </c>
      <c r="L734" s="21" t="str">
        <f t="shared" si="3"/>
        <v/>
      </c>
      <c r="M734" s="21" t="str">
        <f t="array" ref="M734">IF(H734="","",SUMif(year(N$2:BO$2),M$2,N734:BO734))</f>
        <v/>
      </c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</row>
    <row r="735">
      <c r="A735" s="16" t="str">
        <f t="shared" si="14"/>
        <v/>
      </c>
      <c r="B735" s="16" t="str">
        <f t="shared" si="15"/>
        <v/>
      </c>
      <c r="C735" s="35" t="str">
        <f t="shared" si="16"/>
        <v/>
      </c>
      <c r="D735" s="35" t="str">
        <f t="shared" si="17"/>
        <v/>
      </c>
      <c r="E735" s="35" t="str">
        <f t="shared" si="18"/>
        <v/>
      </c>
      <c r="F735" s="35" t="str">
        <f t="shared" si="19"/>
        <v/>
      </c>
      <c r="G735" s="35" t="str">
        <f t="shared" si="20"/>
        <v/>
      </c>
      <c r="H735" s="25"/>
      <c r="I735" s="47" t="str">
        <f t="shared" si="21"/>
        <v/>
      </c>
      <c r="J735" s="48"/>
      <c r="K735" s="21" t="str">
        <f t="shared" si="13"/>
        <v/>
      </c>
      <c r="L735" s="21" t="str">
        <f t="shared" si="3"/>
        <v/>
      </c>
      <c r="M735" s="21" t="str">
        <f t="array" ref="M735">IF(H735="","",SUMif(year(N$2:BO$2),M$2,N735:BO735))</f>
        <v/>
      </c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</row>
    <row r="736">
      <c r="A736" s="16" t="str">
        <f t="shared" si="14"/>
        <v/>
      </c>
      <c r="B736" s="16" t="str">
        <f t="shared" si="15"/>
        <v/>
      </c>
      <c r="C736" s="35" t="str">
        <f t="shared" si="16"/>
        <v/>
      </c>
      <c r="D736" s="35" t="str">
        <f t="shared" si="17"/>
        <v/>
      </c>
      <c r="E736" s="35" t="str">
        <f t="shared" si="18"/>
        <v/>
      </c>
      <c r="F736" s="35" t="str">
        <f t="shared" si="19"/>
        <v/>
      </c>
      <c r="G736" s="35" t="str">
        <f t="shared" si="20"/>
        <v/>
      </c>
      <c r="H736" s="25"/>
      <c r="I736" s="47" t="str">
        <f t="shared" si="21"/>
        <v/>
      </c>
      <c r="J736" s="48"/>
      <c r="K736" s="21" t="str">
        <f t="shared" si="13"/>
        <v/>
      </c>
      <c r="L736" s="21" t="str">
        <f t="shared" si="3"/>
        <v/>
      </c>
      <c r="M736" s="21" t="str">
        <f t="array" ref="M736">IF(H736="","",SUMif(year(N$2:BO$2),M$2,N736:BO736))</f>
        <v/>
      </c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</row>
    <row r="737">
      <c r="A737" s="16" t="str">
        <f t="shared" si="14"/>
        <v/>
      </c>
      <c r="B737" s="16" t="str">
        <f t="shared" si="15"/>
        <v/>
      </c>
      <c r="C737" s="35" t="str">
        <f t="shared" si="16"/>
        <v/>
      </c>
      <c r="D737" s="35" t="str">
        <f t="shared" si="17"/>
        <v/>
      </c>
      <c r="E737" s="35" t="str">
        <f t="shared" si="18"/>
        <v/>
      </c>
      <c r="F737" s="35" t="str">
        <f t="shared" si="19"/>
        <v/>
      </c>
      <c r="G737" s="35" t="str">
        <f t="shared" si="20"/>
        <v/>
      </c>
      <c r="H737" s="25"/>
      <c r="I737" s="47" t="str">
        <f t="shared" si="21"/>
        <v/>
      </c>
      <c r="J737" s="48"/>
      <c r="K737" s="21" t="str">
        <f t="shared" si="13"/>
        <v/>
      </c>
      <c r="L737" s="21" t="str">
        <f t="shared" si="3"/>
        <v/>
      </c>
      <c r="M737" s="21" t="str">
        <f t="array" ref="M737">IF(H737="","",SUMif(year(N$2:BO$2),M$2,N737:BO737))</f>
        <v/>
      </c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</row>
    <row r="738">
      <c r="A738" s="16" t="str">
        <f t="shared" si="14"/>
        <v/>
      </c>
      <c r="B738" s="16" t="str">
        <f t="shared" si="15"/>
        <v/>
      </c>
      <c r="C738" s="35" t="str">
        <f t="shared" si="16"/>
        <v/>
      </c>
      <c r="D738" s="35" t="str">
        <f t="shared" si="17"/>
        <v/>
      </c>
      <c r="E738" s="35" t="str">
        <f t="shared" si="18"/>
        <v/>
      </c>
      <c r="F738" s="35" t="str">
        <f t="shared" si="19"/>
        <v/>
      </c>
      <c r="G738" s="35" t="str">
        <f t="shared" si="20"/>
        <v/>
      </c>
      <c r="H738" s="25"/>
      <c r="I738" s="47" t="str">
        <f t="shared" si="21"/>
        <v/>
      </c>
      <c r="J738" s="48"/>
      <c r="K738" s="21" t="str">
        <f t="shared" si="13"/>
        <v/>
      </c>
      <c r="L738" s="21" t="str">
        <f t="shared" si="3"/>
        <v/>
      </c>
      <c r="M738" s="21" t="str">
        <f t="array" ref="M738">IF(H738="","",SUMif(year(N$2:BO$2),M$2,N738:BO738))</f>
        <v/>
      </c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</row>
    <row r="739">
      <c r="A739" s="16" t="str">
        <f t="shared" si="14"/>
        <v/>
      </c>
      <c r="B739" s="16" t="str">
        <f t="shared" si="15"/>
        <v/>
      </c>
      <c r="C739" s="35" t="str">
        <f t="shared" si="16"/>
        <v/>
      </c>
      <c r="D739" s="35" t="str">
        <f t="shared" si="17"/>
        <v/>
      </c>
      <c r="E739" s="35" t="str">
        <f t="shared" si="18"/>
        <v/>
      </c>
      <c r="F739" s="35" t="str">
        <f t="shared" si="19"/>
        <v/>
      </c>
      <c r="G739" s="35" t="str">
        <f t="shared" si="20"/>
        <v/>
      </c>
      <c r="H739" s="25"/>
      <c r="I739" s="47" t="str">
        <f t="shared" si="21"/>
        <v/>
      </c>
      <c r="J739" s="48"/>
      <c r="K739" s="21" t="str">
        <f t="shared" si="13"/>
        <v/>
      </c>
      <c r="L739" s="21" t="str">
        <f t="shared" si="3"/>
        <v/>
      </c>
      <c r="M739" s="21" t="str">
        <f t="array" ref="M739">IF(H739="","",SUMif(year(N$2:BO$2),M$2,N739:BO739))</f>
        <v/>
      </c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</row>
    <row r="740">
      <c r="A740" s="16" t="str">
        <f t="shared" si="14"/>
        <v/>
      </c>
      <c r="B740" s="16" t="str">
        <f t="shared" si="15"/>
        <v/>
      </c>
      <c r="C740" s="35" t="str">
        <f t="shared" si="16"/>
        <v/>
      </c>
      <c r="D740" s="35" t="str">
        <f t="shared" si="17"/>
        <v/>
      </c>
      <c r="E740" s="35" t="str">
        <f t="shared" si="18"/>
        <v/>
      </c>
      <c r="F740" s="35" t="str">
        <f t="shared" si="19"/>
        <v/>
      </c>
      <c r="G740" s="35" t="str">
        <f t="shared" si="20"/>
        <v/>
      </c>
      <c r="H740" s="25"/>
      <c r="I740" s="47" t="str">
        <f t="shared" si="21"/>
        <v/>
      </c>
      <c r="J740" s="48"/>
      <c r="K740" s="21" t="str">
        <f t="shared" si="13"/>
        <v/>
      </c>
      <c r="L740" s="21" t="str">
        <f t="shared" si="3"/>
        <v/>
      </c>
      <c r="M740" s="21" t="str">
        <f t="array" ref="M740">IF(H740="","",SUMif(year(N$2:BO$2),M$2,N740:BO740))</f>
        <v/>
      </c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</row>
    <row r="741">
      <c r="A741" s="16" t="str">
        <f t="shared" si="14"/>
        <v/>
      </c>
      <c r="B741" s="16" t="str">
        <f t="shared" si="15"/>
        <v/>
      </c>
      <c r="C741" s="35" t="str">
        <f t="shared" si="16"/>
        <v/>
      </c>
      <c r="D741" s="35" t="str">
        <f t="shared" si="17"/>
        <v/>
      </c>
      <c r="E741" s="35" t="str">
        <f t="shared" si="18"/>
        <v/>
      </c>
      <c r="F741" s="35" t="str">
        <f t="shared" si="19"/>
        <v/>
      </c>
      <c r="G741" s="35" t="str">
        <f t="shared" si="20"/>
        <v/>
      </c>
      <c r="H741" s="25"/>
      <c r="I741" s="47" t="str">
        <f t="shared" si="21"/>
        <v/>
      </c>
      <c r="J741" s="48"/>
      <c r="K741" s="21" t="str">
        <f t="shared" si="13"/>
        <v/>
      </c>
      <c r="L741" s="21" t="str">
        <f t="shared" si="3"/>
        <v/>
      </c>
      <c r="M741" s="21" t="str">
        <f t="array" ref="M741">IF(H741="","",SUMif(year(N$2:BO$2),M$2,N741:BO741))</f>
        <v/>
      </c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</row>
    <row r="742">
      <c r="A742" s="16" t="str">
        <f t="shared" si="14"/>
        <v/>
      </c>
      <c r="B742" s="16" t="str">
        <f t="shared" si="15"/>
        <v/>
      </c>
      <c r="C742" s="35" t="str">
        <f t="shared" si="16"/>
        <v/>
      </c>
      <c r="D742" s="35" t="str">
        <f t="shared" si="17"/>
        <v/>
      </c>
      <c r="E742" s="35" t="str">
        <f t="shared" si="18"/>
        <v/>
      </c>
      <c r="F742" s="35" t="str">
        <f t="shared" si="19"/>
        <v/>
      </c>
      <c r="G742" s="35" t="str">
        <f t="shared" si="20"/>
        <v/>
      </c>
      <c r="H742" s="25"/>
      <c r="I742" s="47" t="str">
        <f t="shared" si="21"/>
        <v/>
      </c>
      <c r="J742" s="48"/>
      <c r="K742" s="21" t="str">
        <f t="shared" si="13"/>
        <v/>
      </c>
      <c r="L742" s="21" t="str">
        <f t="shared" si="3"/>
        <v/>
      </c>
      <c r="M742" s="21" t="str">
        <f t="array" ref="M742">IF(H742="","",SUMif(year(N$2:BO$2),M$2,N742:BO742))</f>
        <v/>
      </c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</row>
    <row r="743">
      <c r="A743" s="16" t="str">
        <f t="shared" si="14"/>
        <v/>
      </c>
      <c r="B743" s="16" t="str">
        <f t="shared" si="15"/>
        <v/>
      </c>
      <c r="C743" s="35" t="str">
        <f t="shared" si="16"/>
        <v/>
      </c>
      <c r="D743" s="35" t="str">
        <f t="shared" si="17"/>
        <v/>
      </c>
      <c r="E743" s="35" t="str">
        <f t="shared" si="18"/>
        <v/>
      </c>
      <c r="F743" s="35" t="str">
        <f t="shared" si="19"/>
        <v/>
      </c>
      <c r="G743" s="35" t="str">
        <f t="shared" si="20"/>
        <v/>
      </c>
      <c r="H743" s="25"/>
      <c r="I743" s="47" t="str">
        <f t="shared" si="21"/>
        <v/>
      </c>
      <c r="J743" s="48"/>
      <c r="K743" s="21" t="str">
        <f t="shared" si="13"/>
        <v/>
      </c>
      <c r="L743" s="21" t="str">
        <f t="shared" si="3"/>
        <v/>
      </c>
      <c r="M743" s="21" t="str">
        <f t="array" ref="M743">IF(H743="","",SUMif(year(N$2:BO$2),M$2,N743:BO743))</f>
        <v/>
      </c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</row>
    <row r="744">
      <c r="A744" s="16" t="str">
        <f t="shared" si="14"/>
        <v/>
      </c>
      <c r="B744" s="16" t="str">
        <f t="shared" si="15"/>
        <v/>
      </c>
      <c r="C744" s="35" t="str">
        <f t="shared" si="16"/>
        <v/>
      </c>
      <c r="D744" s="35" t="str">
        <f t="shared" si="17"/>
        <v/>
      </c>
      <c r="E744" s="35" t="str">
        <f t="shared" si="18"/>
        <v/>
      </c>
      <c r="F744" s="35" t="str">
        <f t="shared" si="19"/>
        <v/>
      </c>
      <c r="G744" s="35" t="str">
        <f t="shared" si="20"/>
        <v/>
      </c>
      <c r="H744" s="25"/>
      <c r="I744" s="47" t="str">
        <f t="shared" si="21"/>
        <v/>
      </c>
      <c r="J744" s="48"/>
      <c r="K744" s="21" t="str">
        <f t="shared" si="13"/>
        <v/>
      </c>
      <c r="L744" s="21" t="str">
        <f t="shared" si="3"/>
        <v/>
      </c>
      <c r="M744" s="21" t="str">
        <f t="array" ref="M744">IF(H744="","",SUMif(year(N$2:BO$2),M$2,N744:BO744))</f>
        <v/>
      </c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</row>
    <row r="745">
      <c r="A745" s="16" t="str">
        <f t="shared" si="14"/>
        <v/>
      </c>
      <c r="B745" s="16" t="str">
        <f t="shared" si="15"/>
        <v/>
      </c>
      <c r="C745" s="35" t="str">
        <f t="shared" si="16"/>
        <v/>
      </c>
      <c r="D745" s="35" t="str">
        <f t="shared" si="17"/>
        <v/>
      </c>
      <c r="E745" s="35" t="str">
        <f t="shared" si="18"/>
        <v/>
      </c>
      <c r="F745" s="35" t="str">
        <f t="shared" si="19"/>
        <v/>
      </c>
      <c r="G745" s="35" t="str">
        <f t="shared" si="20"/>
        <v/>
      </c>
      <c r="H745" s="25"/>
      <c r="I745" s="47" t="str">
        <f t="shared" si="21"/>
        <v/>
      </c>
      <c r="J745" s="48"/>
      <c r="K745" s="21" t="str">
        <f t="shared" si="13"/>
        <v/>
      </c>
      <c r="L745" s="21" t="str">
        <f t="shared" si="3"/>
        <v/>
      </c>
      <c r="M745" s="21" t="str">
        <f t="array" ref="M745">IF(H745="","",SUMif(year(N$2:BO$2),M$2,N745:BO745))</f>
        <v/>
      </c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</row>
    <row r="746">
      <c r="A746" s="16" t="str">
        <f t="shared" si="14"/>
        <v/>
      </c>
      <c r="B746" s="16" t="str">
        <f t="shared" si="15"/>
        <v/>
      </c>
      <c r="C746" s="35" t="str">
        <f t="shared" si="16"/>
        <v/>
      </c>
      <c r="D746" s="35" t="str">
        <f t="shared" si="17"/>
        <v/>
      </c>
      <c r="E746" s="35" t="str">
        <f t="shared" si="18"/>
        <v/>
      </c>
      <c r="F746" s="35" t="str">
        <f t="shared" si="19"/>
        <v/>
      </c>
      <c r="G746" s="35" t="str">
        <f t="shared" si="20"/>
        <v/>
      </c>
      <c r="H746" s="25"/>
      <c r="I746" s="47" t="str">
        <f t="shared" si="21"/>
        <v/>
      </c>
      <c r="J746" s="48"/>
      <c r="K746" s="21" t="str">
        <f t="shared" si="13"/>
        <v/>
      </c>
      <c r="L746" s="21" t="str">
        <f t="shared" si="3"/>
        <v/>
      </c>
      <c r="M746" s="21" t="str">
        <f t="array" ref="M746">IF(H746="","",SUMif(year(N$2:BO$2),M$2,N746:BO746))</f>
        <v/>
      </c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</row>
    <row r="747">
      <c r="A747" s="16" t="str">
        <f t="shared" si="14"/>
        <v/>
      </c>
      <c r="B747" s="16" t="str">
        <f t="shared" si="15"/>
        <v/>
      </c>
      <c r="C747" s="35" t="str">
        <f t="shared" si="16"/>
        <v/>
      </c>
      <c r="D747" s="35" t="str">
        <f t="shared" si="17"/>
        <v/>
      </c>
      <c r="E747" s="35" t="str">
        <f t="shared" si="18"/>
        <v/>
      </c>
      <c r="F747" s="35" t="str">
        <f t="shared" si="19"/>
        <v/>
      </c>
      <c r="G747" s="35" t="str">
        <f t="shared" si="20"/>
        <v/>
      </c>
      <c r="H747" s="25"/>
      <c r="I747" s="47" t="str">
        <f t="shared" si="21"/>
        <v/>
      </c>
      <c r="J747" s="48"/>
      <c r="K747" s="21" t="str">
        <f t="shared" si="13"/>
        <v/>
      </c>
      <c r="L747" s="21" t="str">
        <f t="shared" si="3"/>
        <v/>
      </c>
      <c r="M747" s="21" t="str">
        <f t="array" ref="M747">IF(H747="","",SUMif(year(N$2:BO$2),M$2,N747:BO747))</f>
        <v/>
      </c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</row>
    <row r="748">
      <c r="A748" s="16" t="str">
        <f t="shared" si="14"/>
        <v/>
      </c>
      <c r="B748" s="16" t="str">
        <f t="shared" si="15"/>
        <v/>
      </c>
      <c r="C748" s="35" t="str">
        <f t="shared" si="16"/>
        <v/>
      </c>
      <c r="D748" s="35" t="str">
        <f t="shared" si="17"/>
        <v/>
      </c>
      <c r="E748" s="35" t="str">
        <f t="shared" si="18"/>
        <v/>
      </c>
      <c r="F748" s="35" t="str">
        <f t="shared" si="19"/>
        <v/>
      </c>
      <c r="G748" s="35" t="str">
        <f t="shared" si="20"/>
        <v/>
      </c>
      <c r="H748" s="25"/>
      <c r="I748" s="47" t="str">
        <f t="shared" si="21"/>
        <v/>
      </c>
      <c r="J748" s="48"/>
      <c r="K748" s="21" t="str">
        <f t="shared" si="13"/>
        <v/>
      </c>
      <c r="L748" s="21" t="str">
        <f t="shared" si="3"/>
        <v/>
      </c>
      <c r="M748" s="21" t="str">
        <f t="array" ref="M748">IF(H748="","",SUMif(year(N$2:BO$2),M$2,N748:BO748))</f>
        <v/>
      </c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</row>
    <row r="749">
      <c r="A749" s="16" t="str">
        <f t="shared" si="14"/>
        <v/>
      </c>
      <c r="B749" s="16" t="str">
        <f t="shared" si="15"/>
        <v/>
      </c>
      <c r="C749" s="35" t="str">
        <f t="shared" si="16"/>
        <v/>
      </c>
      <c r="D749" s="35" t="str">
        <f t="shared" si="17"/>
        <v/>
      </c>
      <c r="E749" s="35" t="str">
        <f t="shared" si="18"/>
        <v/>
      </c>
      <c r="F749" s="35" t="str">
        <f t="shared" si="19"/>
        <v/>
      </c>
      <c r="G749" s="35" t="str">
        <f t="shared" si="20"/>
        <v/>
      </c>
      <c r="H749" s="25"/>
      <c r="I749" s="47" t="str">
        <f t="shared" si="21"/>
        <v/>
      </c>
      <c r="J749" s="48"/>
      <c r="K749" s="21" t="str">
        <f t="shared" si="13"/>
        <v/>
      </c>
      <c r="L749" s="21" t="str">
        <f t="shared" si="3"/>
        <v/>
      </c>
      <c r="M749" s="21" t="str">
        <f t="array" ref="M749">IF(H749="","",SUMif(year(N$2:BO$2),M$2,N749:BO749))</f>
        <v/>
      </c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</row>
    <row r="750">
      <c r="A750" s="16" t="str">
        <f t="shared" si="14"/>
        <v/>
      </c>
      <c r="B750" s="16" t="str">
        <f t="shared" si="15"/>
        <v/>
      </c>
      <c r="C750" s="35" t="str">
        <f t="shared" si="16"/>
        <v/>
      </c>
      <c r="D750" s="35" t="str">
        <f t="shared" si="17"/>
        <v/>
      </c>
      <c r="E750" s="35" t="str">
        <f t="shared" si="18"/>
        <v/>
      </c>
      <c r="F750" s="35" t="str">
        <f t="shared" si="19"/>
        <v/>
      </c>
      <c r="G750" s="35" t="str">
        <f t="shared" si="20"/>
        <v/>
      </c>
      <c r="H750" s="25"/>
      <c r="I750" s="47" t="str">
        <f t="shared" si="21"/>
        <v/>
      </c>
      <c r="J750" s="48"/>
      <c r="K750" s="21" t="str">
        <f t="shared" si="13"/>
        <v/>
      </c>
      <c r="L750" s="21" t="str">
        <f t="shared" si="3"/>
        <v/>
      </c>
      <c r="M750" s="21" t="str">
        <f t="array" ref="M750">IF(H750="","",SUMif(year(N$2:BO$2),M$2,N750:BO750))</f>
        <v/>
      </c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</row>
    <row r="751">
      <c r="A751" s="16" t="str">
        <f t="shared" si="14"/>
        <v/>
      </c>
      <c r="B751" s="16" t="str">
        <f t="shared" si="15"/>
        <v/>
      </c>
      <c r="C751" s="35" t="str">
        <f t="shared" si="16"/>
        <v/>
      </c>
      <c r="D751" s="35" t="str">
        <f t="shared" si="17"/>
        <v/>
      </c>
      <c r="E751" s="35" t="str">
        <f t="shared" si="18"/>
        <v/>
      </c>
      <c r="F751" s="35" t="str">
        <f t="shared" si="19"/>
        <v/>
      </c>
      <c r="G751" s="35" t="str">
        <f t="shared" si="20"/>
        <v/>
      </c>
      <c r="H751" s="25"/>
      <c r="I751" s="47" t="str">
        <f t="shared" si="21"/>
        <v/>
      </c>
      <c r="J751" s="48"/>
      <c r="K751" s="21" t="str">
        <f t="shared" si="13"/>
        <v/>
      </c>
      <c r="L751" s="21" t="str">
        <f t="shared" si="3"/>
        <v/>
      </c>
      <c r="M751" s="21" t="str">
        <f t="array" ref="M751">IF(H751="","",SUMif(year(N$2:BO$2),M$2,N751:BO751))</f>
        <v/>
      </c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</row>
    <row r="752">
      <c r="A752" s="16" t="str">
        <f t="shared" si="14"/>
        <v/>
      </c>
      <c r="B752" s="16" t="str">
        <f t="shared" si="15"/>
        <v/>
      </c>
      <c r="C752" s="35" t="str">
        <f t="shared" si="16"/>
        <v/>
      </c>
      <c r="D752" s="35" t="str">
        <f t="shared" si="17"/>
        <v/>
      </c>
      <c r="E752" s="35" t="str">
        <f t="shared" si="18"/>
        <v/>
      </c>
      <c r="F752" s="35" t="str">
        <f t="shared" si="19"/>
        <v/>
      </c>
      <c r="G752" s="35" t="str">
        <f t="shared" si="20"/>
        <v/>
      </c>
      <c r="H752" s="25"/>
      <c r="I752" s="47" t="str">
        <f t="shared" si="21"/>
        <v/>
      </c>
      <c r="J752" s="48"/>
      <c r="K752" s="21" t="str">
        <f t="shared" si="13"/>
        <v/>
      </c>
      <c r="L752" s="21" t="str">
        <f t="shared" si="3"/>
        <v/>
      </c>
      <c r="M752" s="21" t="str">
        <f t="array" ref="M752">IF(H752="","",SUMif(year(N$2:BO$2),M$2,N752:BO752))</f>
        <v/>
      </c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</row>
    <row r="753">
      <c r="A753" s="16" t="str">
        <f t="shared" si="14"/>
        <v/>
      </c>
      <c r="B753" s="16" t="str">
        <f t="shared" si="15"/>
        <v/>
      </c>
      <c r="C753" s="35" t="str">
        <f t="shared" si="16"/>
        <v/>
      </c>
      <c r="D753" s="35" t="str">
        <f t="shared" si="17"/>
        <v/>
      </c>
      <c r="E753" s="35" t="str">
        <f t="shared" si="18"/>
        <v/>
      </c>
      <c r="F753" s="35" t="str">
        <f t="shared" si="19"/>
        <v/>
      </c>
      <c r="G753" s="35" t="str">
        <f t="shared" si="20"/>
        <v/>
      </c>
      <c r="H753" s="25"/>
      <c r="I753" s="47" t="str">
        <f t="shared" si="21"/>
        <v/>
      </c>
      <c r="J753" s="48"/>
      <c r="K753" s="21" t="str">
        <f t="shared" si="13"/>
        <v/>
      </c>
      <c r="L753" s="21" t="str">
        <f t="shared" si="3"/>
        <v/>
      </c>
      <c r="M753" s="21" t="str">
        <f t="array" ref="M753">IF(H753="","",SUMif(year(N$2:BO$2),M$2,N753:BO753))</f>
        <v/>
      </c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</row>
    <row r="754">
      <c r="A754" s="16" t="str">
        <f t="shared" si="14"/>
        <v/>
      </c>
      <c r="B754" s="16" t="str">
        <f t="shared" si="15"/>
        <v/>
      </c>
      <c r="C754" s="35" t="str">
        <f t="shared" si="16"/>
        <v/>
      </c>
      <c r="D754" s="35" t="str">
        <f t="shared" si="17"/>
        <v/>
      </c>
      <c r="E754" s="35" t="str">
        <f t="shared" si="18"/>
        <v/>
      </c>
      <c r="F754" s="35" t="str">
        <f t="shared" si="19"/>
        <v/>
      </c>
      <c r="G754" s="35" t="str">
        <f t="shared" si="20"/>
        <v/>
      </c>
      <c r="H754" s="25"/>
      <c r="I754" s="47" t="str">
        <f t="shared" si="21"/>
        <v/>
      </c>
      <c r="J754" s="48"/>
      <c r="K754" s="21" t="str">
        <f t="shared" si="13"/>
        <v/>
      </c>
      <c r="L754" s="21" t="str">
        <f t="shared" si="3"/>
        <v/>
      </c>
      <c r="M754" s="21" t="str">
        <f t="array" ref="M754">IF(H754="","",SUMif(year(N$2:BO$2),M$2,N754:BO754))</f>
        <v/>
      </c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</row>
    <row r="755">
      <c r="A755" s="16" t="str">
        <f t="shared" si="14"/>
        <v/>
      </c>
      <c r="B755" s="16" t="str">
        <f t="shared" si="15"/>
        <v/>
      </c>
      <c r="C755" s="35" t="str">
        <f t="shared" si="16"/>
        <v/>
      </c>
      <c r="D755" s="35" t="str">
        <f t="shared" si="17"/>
        <v/>
      </c>
      <c r="E755" s="35" t="str">
        <f t="shared" si="18"/>
        <v/>
      </c>
      <c r="F755" s="35" t="str">
        <f t="shared" si="19"/>
        <v/>
      </c>
      <c r="G755" s="35" t="str">
        <f t="shared" si="20"/>
        <v/>
      </c>
      <c r="H755" s="25"/>
      <c r="I755" s="47" t="str">
        <f t="shared" si="21"/>
        <v/>
      </c>
      <c r="J755" s="48"/>
      <c r="K755" s="21" t="str">
        <f t="shared" si="13"/>
        <v/>
      </c>
      <c r="L755" s="21" t="str">
        <f t="shared" si="3"/>
        <v/>
      </c>
      <c r="M755" s="21" t="str">
        <f t="array" ref="M755">IF(H755="","",SUMif(year(N$2:BO$2),M$2,N755:BO755))</f>
        <v/>
      </c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</row>
    <row r="756">
      <c r="A756" s="16" t="str">
        <f t="shared" si="14"/>
        <v/>
      </c>
      <c r="B756" s="16" t="str">
        <f t="shared" si="15"/>
        <v/>
      </c>
      <c r="C756" s="35" t="str">
        <f t="shared" si="16"/>
        <v/>
      </c>
      <c r="D756" s="35" t="str">
        <f t="shared" si="17"/>
        <v/>
      </c>
      <c r="E756" s="35" t="str">
        <f t="shared" si="18"/>
        <v/>
      </c>
      <c r="F756" s="35" t="str">
        <f t="shared" si="19"/>
        <v/>
      </c>
      <c r="G756" s="35" t="str">
        <f t="shared" si="20"/>
        <v/>
      </c>
      <c r="H756" s="25"/>
      <c r="I756" s="47" t="str">
        <f t="shared" si="21"/>
        <v/>
      </c>
      <c r="J756" s="48"/>
      <c r="K756" s="21" t="str">
        <f t="shared" si="13"/>
        <v/>
      </c>
      <c r="L756" s="21" t="str">
        <f t="shared" si="3"/>
        <v/>
      </c>
      <c r="M756" s="21" t="str">
        <f t="array" ref="M756">IF(H756="","",SUMif(year(N$2:BO$2),M$2,N756:BO756))</f>
        <v/>
      </c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</row>
    <row r="757">
      <c r="A757" s="16" t="str">
        <f t="shared" si="14"/>
        <v/>
      </c>
      <c r="B757" s="16" t="str">
        <f t="shared" si="15"/>
        <v/>
      </c>
      <c r="C757" s="35" t="str">
        <f t="shared" si="16"/>
        <v/>
      </c>
      <c r="D757" s="35" t="str">
        <f t="shared" si="17"/>
        <v/>
      </c>
      <c r="E757" s="35" t="str">
        <f t="shared" si="18"/>
        <v/>
      </c>
      <c r="F757" s="35" t="str">
        <f t="shared" si="19"/>
        <v/>
      </c>
      <c r="G757" s="35" t="str">
        <f t="shared" si="20"/>
        <v/>
      </c>
      <c r="H757" s="25"/>
      <c r="I757" s="47" t="str">
        <f t="shared" si="21"/>
        <v/>
      </c>
      <c r="J757" s="48"/>
      <c r="K757" s="21" t="str">
        <f t="shared" si="13"/>
        <v/>
      </c>
      <c r="L757" s="21" t="str">
        <f t="shared" si="3"/>
        <v/>
      </c>
      <c r="M757" s="21" t="str">
        <f t="array" ref="M757">IF(H757="","",SUMif(year(N$2:BO$2),M$2,N757:BO757))</f>
        <v/>
      </c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</row>
    <row r="758">
      <c r="A758" s="16" t="str">
        <f t="shared" si="14"/>
        <v/>
      </c>
      <c r="B758" s="16" t="str">
        <f t="shared" si="15"/>
        <v/>
      </c>
      <c r="C758" s="35" t="str">
        <f t="shared" si="16"/>
        <v/>
      </c>
      <c r="D758" s="35" t="str">
        <f t="shared" si="17"/>
        <v/>
      </c>
      <c r="E758" s="35" t="str">
        <f t="shared" si="18"/>
        <v/>
      </c>
      <c r="F758" s="35" t="str">
        <f t="shared" si="19"/>
        <v/>
      </c>
      <c r="G758" s="35" t="str">
        <f t="shared" si="20"/>
        <v/>
      </c>
      <c r="H758" s="25"/>
      <c r="I758" s="47" t="str">
        <f t="shared" si="21"/>
        <v/>
      </c>
      <c r="J758" s="48"/>
      <c r="K758" s="21" t="str">
        <f t="shared" si="13"/>
        <v/>
      </c>
      <c r="L758" s="21" t="str">
        <f t="shared" si="3"/>
        <v/>
      </c>
      <c r="M758" s="21" t="str">
        <f t="array" ref="M758">IF(H758="","",SUMif(year(N$2:BO$2),M$2,N758:BO758))</f>
        <v/>
      </c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</row>
    <row r="759">
      <c r="A759" s="16" t="str">
        <f t="shared" si="14"/>
        <v/>
      </c>
      <c r="B759" s="16" t="str">
        <f t="shared" si="15"/>
        <v/>
      </c>
      <c r="C759" s="35" t="str">
        <f t="shared" si="16"/>
        <v/>
      </c>
      <c r="D759" s="35" t="str">
        <f t="shared" si="17"/>
        <v/>
      </c>
      <c r="E759" s="35" t="str">
        <f t="shared" si="18"/>
        <v/>
      </c>
      <c r="F759" s="35" t="str">
        <f t="shared" si="19"/>
        <v/>
      </c>
      <c r="G759" s="35" t="str">
        <f t="shared" si="20"/>
        <v/>
      </c>
      <c r="H759" s="25"/>
      <c r="I759" s="47" t="str">
        <f t="shared" si="21"/>
        <v/>
      </c>
      <c r="J759" s="48"/>
      <c r="K759" s="21" t="str">
        <f t="shared" si="13"/>
        <v/>
      </c>
      <c r="L759" s="21" t="str">
        <f t="shared" si="3"/>
        <v/>
      </c>
      <c r="M759" s="21" t="str">
        <f t="array" ref="M759">IF(H759="","",SUMif(year(N$2:BO$2),M$2,N759:BO759))</f>
        <v/>
      </c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</row>
    <row r="760">
      <c r="A760" s="16" t="str">
        <f t="shared" si="14"/>
        <v/>
      </c>
      <c r="B760" s="16" t="str">
        <f t="shared" si="15"/>
        <v/>
      </c>
      <c r="C760" s="35" t="str">
        <f t="shared" si="16"/>
        <v/>
      </c>
      <c r="D760" s="35" t="str">
        <f t="shared" si="17"/>
        <v/>
      </c>
      <c r="E760" s="35" t="str">
        <f t="shared" si="18"/>
        <v/>
      </c>
      <c r="F760" s="35" t="str">
        <f t="shared" si="19"/>
        <v/>
      </c>
      <c r="G760" s="35" t="str">
        <f t="shared" si="20"/>
        <v/>
      </c>
      <c r="H760" s="25"/>
      <c r="I760" s="47" t="str">
        <f t="shared" si="21"/>
        <v/>
      </c>
      <c r="J760" s="48"/>
      <c r="K760" s="21" t="str">
        <f t="shared" si="13"/>
        <v/>
      </c>
      <c r="L760" s="21" t="str">
        <f t="shared" si="3"/>
        <v/>
      </c>
      <c r="M760" s="21" t="str">
        <f t="array" ref="M760">IF(H760="","",SUMif(year(N$2:BO$2),M$2,N760:BO760))</f>
        <v/>
      </c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</row>
    <row r="761">
      <c r="A761" s="16" t="str">
        <f t="shared" si="14"/>
        <v/>
      </c>
      <c r="B761" s="16" t="str">
        <f t="shared" si="15"/>
        <v/>
      </c>
      <c r="C761" s="35" t="str">
        <f t="shared" si="16"/>
        <v/>
      </c>
      <c r="D761" s="35" t="str">
        <f t="shared" si="17"/>
        <v/>
      </c>
      <c r="E761" s="35" t="str">
        <f t="shared" si="18"/>
        <v/>
      </c>
      <c r="F761" s="35" t="str">
        <f t="shared" si="19"/>
        <v/>
      </c>
      <c r="G761" s="35" t="str">
        <f t="shared" si="20"/>
        <v/>
      </c>
      <c r="H761" s="25"/>
      <c r="I761" s="47" t="str">
        <f t="shared" si="21"/>
        <v/>
      </c>
      <c r="J761" s="48"/>
      <c r="K761" s="21" t="str">
        <f t="shared" si="13"/>
        <v/>
      </c>
      <c r="L761" s="21" t="str">
        <f t="shared" si="3"/>
        <v/>
      </c>
      <c r="M761" s="21" t="str">
        <f t="array" ref="M761">IF(H761="","",SUMif(year(N$2:BO$2),M$2,N761:BO761))</f>
        <v/>
      </c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</row>
    <row r="762">
      <c r="A762" s="16" t="str">
        <f t="shared" si="14"/>
        <v/>
      </c>
      <c r="B762" s="16" t="str">
        <f t="shared" si="15"/>
        <v/>
      </c>
      <c r="C762" s="35" t="str">
        <f t="shared" si="16"/>
        <v/>
      </c>
      <c r="D762" s="35" t="str">
        <f t="shared" si="17"/>
        <v/>
      </c>
      <c r="E762" s="35" t="str">
        <f t="shared" si="18"/>
        <v/>
      </c>
      <c r="F762" s="35" t="str">
        <f t="shared" si="19"/>
        <v/>
      </c>
      <c r="G762" s="35" t="str">
        <f t="shared" si="20"/>
        <v/>
      </c>
      <c r="H762" s="25"/>
      <c r="I762" s="47" t="str">
        <f t="shared" si="21"/>
        <v/>
      </c>
      <c r="J762" s="48"/>
      <c r="K762" s="21" t="str">
        <f t="shared" si="13"/>
        <v/>
      </c>
      <c r="L762" s="21" t="str">
        <f t="shared" si="3"/>
        <v/>
      </c>
      <c r="M762" s="21" t="str">
        <f t="array" ref="M762">IF(H762="","",SUMif(year(N$2:BO$2),M$2,N762:BO762))</f>
        <v/>
      </c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</row>
    <row r="763">
      <c r="A763" s="16" t="str">
        <f t="shared" si="14"/>
        <v/>
      </c>
      <c r="B763" s="16" t="str">
        <f t="shared" si="15"/>
        <v/>
      </c>
      <c r="C763" s="35" t="str">
        <f t="shared" si="16"/>
        <v/>
      </c>
      <c r="D763" s="35" t="str">
        <f t="shared" si="17"/>
        <v/>
      </c>
      <c r="E763" s="35" t="str">
        <f t="shared" si="18"/>
        <v/>
      </c>
      <c r="F763" s="35" t="str">
        <f t="shared" si="19"/>
        <v/>
      </c>
      <c r="G763" s="35" t="str">
        <f t="shared" si="20"/>
        <v/>
      </c>
      <c r="H763" s="25"/>
      <c r="I763" s="47" t="str">
        <f t="shared" si="21"/>
        <v/>
      </c>
      <c r="J763" s="48"/>
      <c r="K763" s="21" t="str">
        <f t="shared" si="13"/>
        <v/>
      </c>
      <c r="L763" s="21" t="str">
        <f t="shared" si="3"/>
        <v/>
      </c>
      <c r="M763" s="21" t="str">
        <f t="array" ref="M763">IF(H763="","",SUMif(year(N$2:BO$2),M$2,N763:BO763))</f>
        <v/>
      </c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</row>
    <row r="764">
      <c r="A764" s="16" t="str">
        <f t="shared" si="14"/>
        <v/>
      </c>
      <c r="B764" s="16" t="str">
        <f t="shared" si="15"/>
        <v/>
      </c>
      <c r="C764" s="35" t="str">
        <f t="shared" si="16"/>
        <v/>
      </c>
      <c r="D764" s="35" t="str">
        <f t="shared" si="17"/>
        <v/>
      </c>
      <c r="E764" s="35" t="str">
        <f t="shared" si="18"/>
        <v/>
      </c>
      <c r="F764" s="35" t="str">
        <f t="shared" si="19"/>
        <v/>
      </c>
      <c r="G764" s="35" t="str">
        <f t="shared" si="20"/>
        <v/>
      </c>
      <c r="H764" s="25"/>
      <c r="I764" s="47" t="str">
        <f t="shared" si="21"/>
        <v/>
      </c>
      <c r="J764" s="48"/>
      <c r="K764" s="21" t="str">
        <f t="shared" si="13"/>
        <v/>
      </c>
      <c r="L764" s="21" t="str">
        <f t="shared" si="3"/>
        <v/>
      </c>
      <c r="M764" s="21" t="str">
        <f t="array" ref="M764">IF(H764="","",SUMif(year(N$2:BO$2),M$2,N764:BO764))</f>
        <v/>
      </c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</row>
    <row r="765">
      <c r="A765" s="16" t="str">
        <f t="shared" si="14"/>
        <v/>
      </c>
      <c r="B765" s="16" t="str">
        <f t="shared" si="15"/>
        <v/>
      </c>
      <c r="C765" s="35" t="str">
        <f t="shared" si="16"/>
        <v/>
      </c>
      <c r="D765" s="35" t="str">
        <f t="shared" si="17"/>
        <v/>
      </c>
      <c r="E765" s="35" t="str">
        <f t="shared" si="18"/>
        <v/>
      </c>
      <c r="F765" s="35" t="str">
        <f t="shared" si="19"/>
        <v/>
      </c>
      <c r="G765" s="35" t="str">
        <f t="shared" si="20"/>
        <v/>
      </c>
      <c r="H765" s="25"/>
      <c r="I765" s="47" t="str">
        <f t="shared" si="21"/>
        <v/>
      </c>
      <c r="J765" s="48"/>
      <c r="K765" s="21" t="str">
        <f t="shared" si="13"/>
        <v/>
      </c>
      <c r="L765" s="21" t="str">
        <f t="shared" si="3"/>
        <v/>
      </c>
      <c r="M765" s="21" t="str">
        <f t="array" ref="M765">IF(H765="","",SUMif(year(N$2:BO$2),M$2,N765:BO765))</f>
        <v/>
      </c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</row>
    <row r="766">
      <c r="A766" s="16" t="str">
        <f t="shared" si="14"/>
        <v/>
      </c>
      <c r="B766" s="16" t="str">
        <f t="shared" si="15"/>
        <v/>
      </c>
      <c r="C766" s="35" t="str">
        <f t="shared" si="16"/>
        <v/>
      </c>
      <c r="D766" s="35" t="str">
        <f t="shared" si="17"/>
        <v/>
      </c>
      <c r="E766" s="35" t="str">
        <f t="shared" si="18"/>
        <v/>
      </c>
      <c r="F766" s="35" t="str">
        <f t="shared" si="19"/>
        <v/>
      </c>
      <c r="G766" s="35" t="str">
        <f t="shared" si="20"/>
        <v/>
      </c>
      <c r="H766" s="25"/>
      <c r="I766" s="47" t="str">
        <f t="shared" si="21"/>
        <v/>
      </c>
      <c r="J766" s="48"/>
      <c r="K766" s="21" t="str">
        <f t="shared" si="13"/>
        <v/>
      </c>
      <c r="L766" s="21" t="str">
        <f t="shared" si="3"/>
        <v/>
      </c>
      <c r="M766" s="21" t="str">
        <f t="array" ref="M766">IF(H766="","",SUMif(year(N$2:BO$2),M$2,N766:BO766))</f>
        <v/>
      </c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</row>
    <row r="767">
      <c r="A767" s="16" t="str">
        <f t="shared" si="14"/>
        <v/>
      </c>
      <c r="B767" s="16" t="str">
        <f t="shared" si="15"/>
        <v/>
      </c>
      <c r="C767" s="35" t="str">
        <f t="shared" si="16"/>
        <v/>
      </c>
      <c r="D767" s="35" t="str">
        <f t="shared" si="17"/>
        <v/>
      </c>
      <c r="E767" s="35" t="str">
        <f t="shared" si="18"/>
        <v/>
      </c>
      <c r="F767" s="35" t="str">
        <f t="shared" si="19"/>
        <v/>
      </c>
      <c r="G767" s="35" t="str">
        <f t="shared" si="20"/>
        <v/>
      </c>
      <c r="H767" s="25"/>
      <c r="I767" s="47" t="str">
        <f t="shared" si="21"/>
        <v/>
      </c>
      <c r="J767" s="48"/>
      <c r="K767" s="21" t="str">
        <f t="shared" si="13"/>
        <v/>
      </c>
      <c r="L767" s="21" t="str">
        <f t="shared" si="3"/>
        <v/>
      </c>
      <c r="M767" s="21" t="str">
        <f t="array" ref="M767">IF(H767="","",SUMif(year(N$2:BO$2),M$2,N767:BO767))</f>
        <v/>
      </c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</row>
    <row r="768">
      <c r="A768" s="16" t="str">
        <f t="shared" si="14"/>
        <v/>
      </c>
      <c r="B768" s="16" t="str">
        <f t="shared" si="15"/>
        <v/>
      </c>
      <c r="C768" s="35" t="str">
        <f t="shared" si="16"/>
        <v/>
      </c>
      <c r="D768" s="35" t="str">
        <f t="shared" si="17"/>
        <v/>
      </c>
      <c r="E768" s="35" t="str">
        <f t="shared" si="18"/>
        <v/>
      </c>
      <c r="F768" s="35" t="str">
        <f t="shared" si="19"/>
        <v/>
      </c>
      <c r="G768" s="35" t="str">
        <f t="shared" si="20"/>
        <v/>
      </c>
      <c r="H768" s="25"/>
      <c r="I768" s="47" t="str">
        <f t="shared" si="21"/>
        <v/>
      </c>
      <c r="J768" s="48"/>
      <c r="K768" s="21" t="str">
        <f t="shared" si="13"/>
        <v/>
      </c>
      <c r="L768" s="21" t="str">
        <f t="shared" si="3"/>
        <v/>
      </c>
      <c r="M768" s="21" t="str">
        <f t="array" ref="M768">IF(H768="","",SUMif(year(N$2:BO$2),M$2,N768:BO768))</f>
        <v/>
      </c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</row>
    <row r="769">
      <c r="A769" s="16" t="str">
        <f t="shared" si="14"/>
        <v/>
      </c>
      <c r="B769" s="16" t="str">
        <f t="shared" si="15"/>
        <v/>
      </c>
      <c r="C769" s="35" t="str">
        <f t="shared" si="16"/>
        <v/>
      </c>
      <c r="D769" s="35" t="str">
        <f t="shared" si="17"/>
        <v/>
      </c>
      <c r="E769" s="35" t="str">
        <f t="shared" si="18"/>
        <v/>
      </c>
      <c r="F769" s="35" t="str">
        <f t="shared" si="19"/>
        <v/>
      </c>
      <c r="G769" s="35" t="str">
        <f t="shared" si="20"/>
        <v/>
      </c>
      <c r="H769" s="25"/>
      <c r="I769" s="47" t="str">
        <f t="shared" si="21"/>
        <v/>
      </c>
      <c r="J769" s="48"/>
      <c r="K769" s="21" t="str">
        <f t="shared" si="13"/>
        <v/>
      </c>
      <c r="L769" s="21" t="str">
        <f t="shared" si="3"/>
        <v/>
      </c>
      <c r="M769" s="21" t="str">
        <f t="array" ref="M769">IF(H769="","",SUMif(year(N$2:BO$2),M$2,N769:BO769))</f>
        <v/>
      </c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</row>
    <row r="770">
      <c r="A770" s="16" t="str">
        <f t="shared" si="14"/>
        <v/>
      </c>
      <c r="B770" s="16" t="str">
        <f t="shared" si="15"/>
        <v/>
      </c>
      <c r="C770" s="35" t="str">
        <f t="shared" si="16"/>
        <v/>
      </c>
      <c r="D770" s="35" t="str">
        <f t="shared" si="17"/>
        <v/>
      </c>
      <c r="E770" s="35" t="str">
        <f t="shared" si="18"/>
        <v/>
      </c>
      <c r="F770" s="35" t="str">
        <f t="shared" si="19"/>
        <v/>
      </c>
      <c r="G770" s="35" t="str">
        <f t="shared" si="20"/>
        <v/>
      </c>
      <c r="H770" s="25"/>
      <c r="I770" s="47" t="str">
        <f t="shared" si="21"/>
        <v/>
      </c>
      <c r="J770" s="48"/>
      <c r="K770" s="21" t="str">
        <f t="shared" si="13"/>
        <v/>
      </c>
      <c r="L770" s="21" t="str">
        <f t="shared" si="3"/>
        <v/>
      </c>
      <c r="M770" s="21" t="str">
        <f t="array" ref="M770">IF(H770="","",SUMif(year(N$2:BO$2),M$2,N770:BO770))</f>
        <v/>
      </c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</row>
    <row r="771">
      <c r="A771" s="16" t="str">
        <f t="shared" si="14"/>
        <v/>
      </c>
      <c r="B771" s="16" t="str">
        <f t="shared" si="15"/>
        <v/>
      </c>
      <c r="C771" s="35" t="str">
        <f t="shared" si="16"/>
        <v/>
      </c>
      <c r="D771" s="35" t="str">
        <f t="shared" si="17"/>
        <v/>
      </c>
      <c r="E771" s="35" t="str">
        <f t="shared" si="18"/>
        <v/>
      </c>
      <c r="F771" s="35" t="str">
        <f t="shared" si="19"/>
        <v/>
      </c>
      <c r="G771" s="35" t="str">
        <f t="shared" si="20"/>
        <v/>
      </c>
      <c r="H771" s="25"/>
      <c r="I771" s="47" t="str">
        <f t="shared" si="21"/>
        <v/>
      </c>
      <c r="J771" s="48"/>
      <c r="K771" s="21" t="str">
        <f t="shared" si="13"/>
        <v/>
      </c>
      <c r="L771" s="21" t="str">
        <f t="shared" si="3"/>
        <v/>
      </c>
      <c r="M771" s="21" t="str">
        <f t="array" ref="M771">IF(H771="","",SUMif(year(N$2:BO$2),M$2,N771:BO771))</f>
        <v/>
      </c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</row>
    <row r="772">
      <c r="A772" s="16" t="str">
        <f t="shared" si="14"/>
        <v/>
      </c>
      <c r="B772" s="16" t="str">
        <f t="shared" si="15"/>
        <v/>
      </c>
      <c r="C772" s="35" t="str">
        <f t="shared" si="16"/>
        <v/>
      </c>
      <c r="D772" s="35" t="str">
        <f t="shared" si="17"/>
        <v/>
      </c>
      <c r="E772" s="35" t="str">
        <f t="shared" si="18"/>
        <v/>
      </c>
      <c r="F772" s="35" t="str">
        <f t="shared" si="19"/>
        <v/>
      </c>
      <c r="G772" s="35" t="str">
        <f t="shared" si="20"/>
        <v/>
      </c>
      <c r="H772" s="25"/>
      <c r="I772" s="47" t="str">
        <f t="shared" si="21"/>
        <v/>
      </c>
      <c r="J772" s="48"/>
      <c r="K772" s="21" t="str">
        <f t="shared" si="13"/>
        <v/>
      </c>
      <c r="L772" s="21" t="str">
        <f t="shared" si="3"/>
        <v/>
      </c>
      <c r="M772" s="21" t="str">
        <f t="array" ref="M772">IF(H772="","",SUMif(year(N$2:BO$2),M$2,N772:BO772))</f>
        <v/>
      </c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</row>
    <row r="773">
      <c r="A773" s="16" t="str">
        <f t="shared" si="14"/>
        <v/>
      </c>
      <c r="B773" s="16" t="str">
        <f t="shared" si="15"/>
        <v/>
      </c>
      <c r="C773" s="35" t="str">
        <f t="shared" si="16"/>
        <v/>
      </c>
      <c r="D773" s="35" t="str">
        <f t="shared" si="17"/>
        <v/>
      </c>
      <c r="E773" s="35" t="str">
        <f t="shared" si="18"/>
        <v/>
      </c>
      <c r="F773" s="35" t="str">
        <f t="shared" si="19"/>
        <v/>
      </c>
      <c r="G773" s="35" t="str">
        <f t="shared" si="20"/>
        <v/>
      </c>
      <c r="H773" s="25"/>
      <c r="I773" s="47" t="str">
        <f t="shared" si="21"/>
        <v/>
      </c>
      <c r="J773" s="48"/>
      <c r="K773" s="21" t="str">
        <f t="shared" si="13"/>
        <v/>
      </c>
      <c r="L773" s="21" t="str">
        <f t="shared" si="3"/>
        <v/>
      </c>
      <c r="M773" s="21" t="str">
        <f t="array" ref="M773">IF(H773="","",SUMif(year(N$2:BO$2),M$2,N773:BO773))</f>
        <v/>
      </c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</row>
    <row r="774">
      <c r="A774" s="16" t="str">
        <f t="shared" si="14"/>
        <v/>
      </c>
      <c r="B774" s="16" t="str">
        <f t="shared" si="15"/>
        <v/>
      </c>
      <c r="C774" s="35" t="str">
        <f t="shared" si="16"/>
        <v/>
      </c>
      <c r="D774" s="35" t="str">
        <f t="shared" si="17"/>
        <v/>
      </c>
      <c r="E774" s="35" t="str">
        <f t="shared" si="18"/>
        <v/>
      </c>
      <c r="F774" s="35" t="str">
        <f t="shared" si="19"/>
        <v/>
      </c>
      <c r="G774" s="35" t="str">
        <f t="shared" si="20"/>
        <v/>
      </c>
      <c r="H774" s="25"/>
      <c r="I774" s="47" t="str">
        <f t="shared" si="21"/>
        <v/>
      </c>
      <c r="J774" s="48"/>
      <c r="K774" s="21" t="str">
        <f t="shared" si="13"/>
        <v/>
      </c>
      <c r="L774" s="21" t="str">
        <f t="shared" si="3"/>
        <v/>
      </c>
      <c r="M774" s="21" t="str">
        <f t="array" ref="M774">IF(H774="","",SUMif(year(N$2:BO$2),M$2,N774:BO774))</f>
        <v/>
      </c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</row>
    <row r="775">
      <c r="A775" s="16" t="str">
        <f t="shared" si="14"/>
        <v/>
      </c>
      <c r="B775" s="16" t="str">
        <f t="shared" si="15"/>
        <v/>
      </c>
      <c r="C775" s="35" t="str">
        <f t="shared" si="16"/>
        <v/>
      </c>
      <c r="D775" s="35" t="str">
        <f t="shared" si="17"/>
        <v/>
      </c>
      <c r="E775" s="35" t="str">
        <f t="shared" si="18"/>
        <v/>
      </c>
      <c r="F775" s="35" t="str">
        <f t="shared" si="19"/>
        <v/>
      </c>
      <c r="G775" s="35" t="str">
        <f t="shared" si="20"/>
        <v/>
      </c>
      <c r="H775" s="25"/>
      <c r="I775" s="47" t="str">
        <f t="shared" si="21"/>
        <v/>
      </c>
      <c r="J775" s="48"/>
      <c r="K775" s="21" t="str">
        <f t="shared" si="13"/>
        <v/>
      </c>
      <c r="L775" s="21" t="str">
        <f t="shared" si="3"/>
        <v/>
      </c>
      <c r="M775" s="21" t="str">
        <f t="array" ref="M775">IF(H775="","",SUMif(year(N$2:BO$2),M$2,N775:BO775))</f>
        <v/>
      </c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</row>
    <row r="776">
      <c r="A776" s="16" t="str">
        <f t="shared" si="14"/>
        <v/>
      </c>
      <c r="B776" s="16" t="str">
        <f t="shared" si="15"/>
        <v/>
      </c>
      <c r="C776" s="35" t="str">
        <f t="shared" si="16"/>
        <v/>
      </c>
      <c r="D776" s="35" t="str">
        <f t="shared" si="17"/>
        <v/>
      </c>
      <c r="E776" s="35" t="str">
        <f t="shared" si="18"/>
        <v/>
      </c>
      <c r="F776" s="35" t="str">
        <f t="shared" si="19"/>
        <v/>
      </c>
      <c r="G776" s="35" t="str">
        <f t="shared" si="20"/>
        <v/>
      </c>
      <c r="H776" s="25"/>
      <c r="I776" s="47" t="str">
        <f t="shared" si="21"/>
        <v/>
      </c>
      <c r="J776" s="48"/>
      <c r="K776" s="21" t="str">
        <f t="shared" si="13"/>
        <v/>
      </c>
      <c r="L776" s="21" t="str">
        <f t="shared" si="3"/>
        <v/>
      </c>
      <c r="M776" s="21" t="str">
        <f t="array" ref="M776">IF(H776="","",SUMif(year(N$2:BO$2),M$2,N776:BO776))</f>
        <v/>
      </c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</row>
    <row r="777">
      <c r="A777" s="16" t="str">
        <f t="shared" si="14"/>
        <v/>
      </c>
      <c r="B777" s="16" t="str">
        <f t="shared" si="15"/>
        <v/>
      </c>
      <c r="C777" s="35" t="str">
        <f t="shared" si="16"/>
        <v/>
      </c>
      <c r="D777" s="35" t="str">
        <f t="shared" si="17"/>
        <v/>
      </c>
      <c r="E777" s="35" t="str">
        <f t="shared" si="18"/>
        <v/>
      </c>
      <c r="F777" s="35" t="str">
        <f t="shared" si="19"/>
        <v/>
      </c>
      <c r="G777" s="35" t="str">
        <f t="shared" si="20"/>
        <v/>
      </c>
      <c r="H777" s="25"/>
      <c r="I777" s="47" t="str">
        <f t="shared" si="21"/>
        <v/>
      </c>
      <c r="J777" s="48"/>
      <c r="K777" s="21" t="str">
        <f t="shared" si="13"/>
        <v/>
      </c>
      <c r="L777" s="21" t="str">
        <f t="shared" si="3"/>
        <v/>
      </c>
      <c r="M777" s="21" t="str">
        <f t="array" ref="M777">IF(H777="","",SUMif(year(N$2:BO$2),M$2,N777:BO777))</f>
        <v/>
      </c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</row>
    <row r="778">
      <c r="A778" s="16" t="str">
        <f t="shared" si="14"/>
        <v/>
      </c>
      <c r="B778" s="16" t="str">
        <f t="shared" si="15"/>
        <v/>
      </c>
      <c r="C778" s="35" t="str">
        <f t="shared" si="16"/>
        <v/>
      </c>
      <c r="D778" s="35" t="str">
        <f t="shared" si="17"/>
        <v/>
      </c>
      <c r="E778" s="35" t="str">
        <f t="shared" si="18"/>
        <v/>
      </c>
      <c r="F778" s="35" t="str">
        <f t="shared" si="19"/>
        <v/>
      </c>
      <c r="G778" s="35" t="str">
        <f t="shared" si="20"/>
        <v/>
      </c>
      <c r="H778" s="25"/>
      <c r="I778" s="47" t="str">
        <f t="shared" si="21"/>
        <v/>
      </c>
      <c r="J778" s="48"/>
      <c r="K778" s="21" t="str">
        <f t="shared" si="13"/>
        <v/>
      </c>
      <c r="L778" s="21" t="str">
        <f t="shared" si="3"/>
        <v/>
      </c>
      <c r="M778" s="21" t="str">
        <f t="array" ref="M778">IF(H778="","",SUMif(year(N$2:BO$2),M$2,N778:BO778))</f>
        <v/>
      </c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</row>
    <row r="779">
      <c r="A779" s="16" t="str">
        <f t="shared" si="14"/>
        <v/>
      </c>
      <c r="B779" s="16" t="str">
        <f t="shared" si="15"/>
        <v/>
      </c>
      <c r="C779" s="35" t="str">
        <f t="shared" si="16"/>
        <v/>
      </c>
      <c r="D779" s="35" t="str">
        <f t="shared" si="17"/>
        <v/>
      </c>
      <c r="E779" s="35" t="str">
        <f t="shared" si="18"/>
        <v/>
      </c>
      <c r="F779" s="35" t="str">
        <f t="shared" si="19"/>
        <v/>
      </c>
      <c r="G779" s="35" t="str">
        <f t="shared" si="20"/>
        <v/>
      </c>
      <c r="H779" s="25"/>
      <c r="I779" s="47" t="str">
        <f t="shared" si="21"/>
        <v/>
      </c>
      <c r="J779" s="48"/>
      <c r="K779" s="21" t="str">
        <f t="shared" si="13"/>
        <v/>
      </c>
      <c r="L779" s="21" t="str">
        <f t="shared" si="3"/>
        <v/>
      </c>
      <c r="M779" s="21" t="str">
        <f t="array" ref="M779">IF(H779="","",SUMif(year(N$2:BO$2),M$2,N779:BO779))</f>
        <v/>
      </c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</row>
    <row r="780">
      <c r="A780" s="16" t="str">
        <f t="shared" si="14"/>
        <v/>
      </c>
      <c r="B780" s="16" t="str">
        <f t="shared" si="15"/>
        <v/>
      </c>
      <c r="C780" s="35" t="str">
        <f t="shared" si="16"/>
        <v/>
      </c>
      <c r="D780" s="35" t="str">
        <f t="shared" si="17"/>
        <v/>
      </c>
      <c r="E780" s="35" t="str">
        <f t="shared" si="18"/>
        <v/>
      </c>
      <c r="F780" s="35" t="str">
        <f t="shared" si="19"/>
        <v/>
      </c>
      <c r="G780" s="35" t="str">
        <f t="shared" si="20"/>
        <v/>
      </c>
      <c r="H780" s="25"/>
      <c r="I780" s="47" t="str">
        <f t="shared" si="21"/>
        <v/>
      </c>
      <c r="J780" s="48"/>
      <c r="K780" s="21" t="str">
        <f t="shared" si="13"/>
        <v/>
      </c>
      <c r="L780" s="21" t="str">
        <f t="shared" si="3"/>
        <v/>
      </c>
      <c r="M780" s="21" t="str">
        <f t="array" ref="M780">IF(H780="","",SUMif(year(N$2:BO$2),M$2,N780:BO780))</f>
        <v/>
      </c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</row>
    <row r="781">
      <c r="A781" s="16" t="str">
        <f t="shared" si="14"/>
        <v/>
      </c>
      <c r="B781" s="16" t="str">
        <f t="shared" si="15"/>
        <v/>
      </c>
      <c r="C781" s="35" t="str">
        <f t="shared" si="16"/>
        <v/>
      </c>
      <c r="D781" s="35" t="str">
        <f t="shared" si="17"/>
        <v/>
      </c>
      <c r="E781" s="35" t="str">
        <f t="shared" si="18"/>
        <v/>
      </c>
      <c r="F781" s="35" t="str">
        <f t="shared" si="19"/>
        <v/>
      </c>
      <c r="G781" s="35" t="str">
        <f t="shared" si="20"/>
        <v/>
      </c>
      <c r="H781" s="25"/>
      <c r="I781" s="47" t="str">
        <f t="shared" si="21"/>
        <v/>
      </c>
      <c r="J781" s="48"/>
      <c r="K781" s="21" t="str">
        <f t="shared" si="13"/>
        <v/>
      </c>
      <c r="L781" s="21" t="str">
        <f t="shared" si="3"/>
        <v/>
      </c>
      <c r="M781" s="21" t="str">
        <f t="array" ref="M781">IF(H781="","",SUMif(year(N$2:BO$2),M$2,N781:BO781))</f>
        <v/>
      </c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</row>
    <row r="782">
      <c r="A782" s="16" t="str">
        <f t="shared" si="14"/>
        <v/>
      </c>
      <c r="B782" s="16" t="str">
        <f t="shared" si="15"/>
        <v/>
      </c>
      <c r="C782" s="35" t="str">
        <f t="shared" si="16"/>
        <v/>
      </c>
      <c r="D782" s="35" t="str">
        <f t="shared" si="17"/>
        <v/>
      </c>
      <c r="E782" s="35" t="str">
        <f t="shared" si="18"/>
        <v/>
      </c>
      <c r="F782" s="35" t="str">
        <f t="shared" si="19"/>
        <v/>
      </c>
      <c r="G782" s="35" t="str">
        <f t="shared" si="20"/>
        <v/>
      </c>
      <c r="H782" s="25"/>
      <c r="I782" s="47" t="str">
        <f t="shared" si="21"/>
        <v/>
      </c>
      <c r="J782" s="48"/>
      <c r="K782" s="21" t="str">
        <f t="shared" si="13"/>
        <v/>
      </c>
      <c r="L782" s="21" t="str">
        <f t="shared" si="3"/>
        <v/>
      </c>
      <c r="M782" s="21" t="str">
        <f t="array" ref="M782">IF(H782="","",SUMif(year(N$2:BO$2),M$2,N782:BO782))</f>
        <v/>
      </c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</row>
    <row r="783">
      <c r="A783" s="16" t="str">
        <f t="shared" si="14"/>
        <v/>
      </c>
      <c r="B783" s="16" t="str">
        <f t="shared" si="15"/>
        <v/>
      </c>
      <c r="C783" s="35" t="str">
        <f t="shared" si="16"/>
        <v/>
      </c>
      <c r="D783" s="35" t="str">
        <f t="shared" si="17"/>
        <v/>
      </c>
      <c r="E783" s="35" t="str">
        <f t="shared" si="18"/>
        <v/>
      </c>
      <c r="F783" s="35" t="str">
        <f t="shared" si="19"/>
        <v/>
      </c>
      <c r="G783" s="35" t="str">
        <f t="shared" si="20"/>
        <v/>
      </c>
      <c r="H783" s="25"/>
      <c r="I783" s="47" t="str">
        <f t="shared" si="21"/>
        <v/>
      </c>
      <c r="J783" s="48"/>
      <c r="K783" s="21" t="str">
        <f t="shared" si="13"/>
        <v/>
      </c>
      <c r="L783" s="21" t="str">
        <f t="shared" si="3"/>
        <v/>
      </c>
      <c r="M783" s="21" t="str">
        <f t="array" ref="M783">IF(H783="","",SUMif(year(N$2:BO$2),M$2,N783:BO783))</f>
        <v/>
      </c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</row>
    <row r="784">
      <c r="A784" s="16" t="str">
        <f t="shared" si="14"/>
        <v/>
      </c>
      <c r="B784" s="16" t="str">
        <f t="shared" si="15"/>
        <v/>
      </c>
      <c r="C784" s="35" t="str">
        <f t="shared" si="16"/>
        <v/>
      </c>
      <c r="D784" s="35" t="str">
        <f t="shared" si="17"/>
        <v/>
      </c>
      <c r="E784" s="35" t="str">
        <f t="shared" si="18"/>
        <v/>
      </c>
      <c r="F784" s="35" t="str">
        <f t="shared" si="19"/>
        <v/>
      </c>
      <c r="G784" s="35" t="str">
        <f t="shared" si="20"/>
        <v/>
      </c>
      <c r="H784" s="25"/>
      <c r="I784" s="47" t="str">
        <f t="shared" si="21"/>
        <v/>
      </c>
      <c r="J784" s="48"/>
      <c r="K784" s="21" t="str">
        <f t="shared" si="13"/>
        <v/>
      </c>
      <c r="L784" s="21" t="str">
        <f t="shared" si="3"/>
        <v/>
      </c>
      <c r="M784" s="21" t="str">
        <f t="array" ref="M784">IF(H784="","",SUMif(year(N$2:BO$2),M$2,N784:BO784))</f>
        <v/>
      </c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</row>
    <row r="785">
      <c r="A785" s="16" t="str">
        <f t="shared" si="14"/>
        <v/>
      </c>
      <c r="B785" s="16" t="str">
        <f t="shared" si="15"/>
        <v/>
      </c>
      <c r="C785" s="35" t="str">
        <f t="shared" si="16"/>
        <v/>
      </c>
      <c r="D785" s="35" t="str">
        <f t="shared" si="17"/>
        <v/>
      </c>
      <c r="E785" s="35" t="str">
        <f t="shared" si="18"/>
        <v/>
      </c>
      <c r="F785" s="35" t="str">
        <f t="shared" si="19"/>
        <v/>
      </c>
      <c r="G785" s="35" t="str">
        <f t="shared" si="20"/>
        <v/>
      </c>
      <c r="H785" s="25"/>
      <c r="I785" s="47" t="str">
        <f t="shared" si="21"/>
        <v/>
      </c>
      <c r="J785" s="48"/>
      <c r="K785" s="21" t="str">
        <f t="shared" si="13"/>
        <v/>
      </c>
      <c r="L785" s="21" t="str">
        <f t="shared" si="3"/>
        <v/>
      </c>
      <c r="M785" s="21" t="str">
        <f t="array" ref="M785">IF(H785="","",SUMif(year(N$2:BO$2),M$2,N785:BO785))</f>
        <v/>
      </c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</row>
    <row r="786">
      <c r="A786" s="16" t="str">
        <f t="shared" si="14"/>
        <v/>
      </c>
      <c r="B786" s="16" t="str">
        <f t="shared" si="15"/>
        <v/>
      </c>
      <c r="C786" s="35" t="str">
        <f t="shared" si="16"/>
        <v/>
      </c>
      <c r="D786" s="35" t="str">
        <f t="shared" si="17"/>
        <v/>
      </c>
      <c r="E786" s="35" t="str">
        <f t="shared" si="18"/>
        <v/>
      </c>
      <c r="F786" s="35" t="str">
        <f t="shared" si="19"/>
        <v/>
      </c>
      <c r="G786" s="35" t="str">
        <f t="shared" si="20"/>
        <v/>
      </c>
      <c r="H786" s="25"/>
      <c r="I786" s="47" t="str">
        <f t="shared" si="21"/>
        <v/>
      </c>
      <c r="J786" s="48"/>
      <c r="K786" s="21" t="str">
        <f t="shared" si="13"/>
        <v/>
      </c>
      <c r="L786" s="21" t="str">
        <f t="shared" si="3"/>
        <v/>
      </c>
      <c r="M786" s="21" t="str">
        <f t="array" ref="M786">IF(H786="","",SUMif(year(N$2:BO$2),M$2,N786:BO786))</f>
        <v/>
      </c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</row>
    <row r="787">
      <c r="A787" s="16" t="str">
        <f t="shared" si="14"/>
        <v/>
      </c>
      <c r="B787" s="16" t="str">
        <f t="shared" si="15"/>
        <v/>
      </c>
      <c r="C787" s="35" t="str">
        <f t="shared" si="16"/>
        <v/>
      </c>
      <c r="D787" s="35" t="str">
        <f t="shared" si="17"/>
        <v/>
      </c>
      <c r="E787" s="35" t="str">
        <f t="shared" si="18"/>
        <v/>
      </c>
      <c r="F787" s="35" t="str">
        <f t="shared" si="19"/>
        <v/>
      </c>
      <c r="G787" s="35" t="str">
        <f t="shared" si="20"/>
        <v/>
      </c>
      <c r="H787" s="25"/>
      <c r="I787" s="47" t="str">
        <f t="shared" si="21"/>
        <v/>
      </c>
      <c r="J787" s="48"/>
      <c r="K787" s="21" t="str">
        <f t="shared" si="13"/>
        <v/>
      </c>
      <c r="L787" s="21" t="str">
        <f t="shared" si="3"/>
        <v/>
      </c>
      <c r="M787" s="21" t="str">
        <f t="array" ref="M787">IF(H787="","",SUMif(year(N$2:BO$2),M$2,N787:BO787))</f>
        <v/>
      </c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</row>
    <row r="788">
      <c r="A788" s="16" t="str">
        <f t="shared" si="14"/>
        <v/>
      </c>
      <c r="B788" s="16" t="str">
        <f t="shared" si="15"/>
        <v/>
      </c>
      <c r="C788" s="35" t="str">
        <f t="shared" si="16"/>
        <v/>
      </c>
      <c r="D788" s="35" t="str">
        <f t="shared" si="17"/>
        <v/>
      </c>
      <c r="E788" s="35" t="str">
        <f t="shared" si="18"/>
        <v/>
      </c>
      <c r="F788" s="35" t="str">
        <f t="shared" si="19"/>
        <v/>
      </c>
      <c r="G788" s="35" t="str">
        <f t="shared" si="20"/>
        <v/>
      </c>
      <c r="H788" s="25"/>
      <c r="I788" s="47" t="str">
        <f t="shared" si="21"/>
        <v/>
      </c>
      <c r="J788" s="48"/>
      <c r="K788" s="21" t="str">
        <f t="shared" si="13"/>
        <v/>
      </c>
      <c r="L788" s="21" t="str">
        <f t="shared" si="3"/>
        <v/>
      </c>
      <c r="M788" s="21" t="str">
        <f t="array" ref="M788">IF(H788="","",SUMif(year(N$2:BO$2),M$2,N788:BO788))</f>
        <v/>
      </c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</row>
    <row r="789">
      <c r="A789" s="16" t="str">
        <f t="shared" si="14"/>
        <v/>
      </c>
      <c r="B789" s="16" t="str">
        <f t="shared" si="15"/>
        <v/>
      </c>
      <c r="C789" s="35" t="str">
        <f t="shared" si="16"/>
        <v/>
      </c>
      <c r="D789" s="35" t="str">
        <f t="shared" si="17"/>
        <v/>
      </c>
      <c r="E789" s="35" t="str">
        <f t="shared" si="18"/>
        <v/>
      </c>
      <c r="F789" s="35" t="str">
        <f t="shared" si="19"/>
        <v/>
      </c>
      <c r="G789" s="35" t="str">
        <f t="shared" si="20"/>
        <v/>
      </c>
      <c r="H789" s="25"/>
      <c r="I789" s="47" t="str">
        <f t="shared" si="21"/>
        <v/>
      </c>
      <c r="J789" s="48"/>
      <c r="K789" s="21" t="str">
        <f t="shared" si="13"/>
        <v/>
      </c>
      <c r="L789" s="21" t="str">
        <f t="shared" si="3"/>
        <v/>
      </c>
      <c r="M789" s="21" t="str">
        <f t="array" ref="M789">IF(H789="","",SUMif(year(N$2:BO$2),M$2,N789:BO789))</f>
        <v/>
      </c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</row>
    <row r="790">
      <c r="A790" s="16" t="str">
        <f t="shared" si="14"/>
        <v/>
      </c>
      <c r="B790" s="16" t="str">
        <f t="shared" si="15"/>
        <v/>
      </c>
      <c r="C790" s="35" t="str">
        <f t="shared" si="16"/>
        <v/>
      </c>
      <c r="D790" s="35" t="str">
        <f t="shared" si="17"/>
        <v/>
      </c>
      <c r="E790" s="35" t="str">
        <f t="shared" si="18"/>
        <v/>
      </c>
      <c r="F790" s="35" t="str">
        <f t="shared" si="19"/>
        <v/>
      </c>
      <c r="G790" s="35" t="str">
        <f t="shared" si="20"/>
        <v/>
      </c>
      <c r="H790" s="25"/>
      <c r="I790" s="47" t="str">
        <f t="shared" si="21"/>
        <v/>
      </c>
      <c r="J790" s="48"/>
      <c r="K790" s="21" t="str">
        <f t="shared" si="13"/>
        <v/>
      </c>
      <c r="L790" s="21" t="str">
        <f t="shared" si="3"/>
        <v/>
      </c>
      <c r="M790" s="21" t="str">
        <f t="array" ref="M790">IF(H790="","",SUMif(year(N$2:BO$2),M$2,N790:BO790))</f>
        <v/>
      </c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</row>
    <row r="791">
      <c r="A791" s="16" t="str">
        <f t="shared" si="14"/>
        <v/>
      </c>
      <c r="B791" s="16" t="str">
        <f t="shared" si="15"/>
        <v/>
      </c>
      <c r="C791" s="35" t="str">
        <f t="shared" si="16"/>
        <v/>
      </c>
      <c r="D791" s="35" t="str">
        <f t="shared" si="17"/>
        <v/>
      </c>
      <c r="E791" s="35" t="str">
        <f t="shared" si="18"/>
        <v/>
      </c>
      <c r="F791" s="35" t="str">
        <f t="shared" si="19"/>
        <v/>
      </c>
      <c r="G791" s="35" t="str">
        <f t="shared" si="20"/>
        <v/>
      </c>
      <c r="H791" s="25"/>
      <c r="I791" s="47" t="str">
        <f t="shared" si="21"/>
        <v/>
      </c>
      <c r="J791" s="48"/>
      <c r="K791" s="21" t="str">
        <f t="shared" si="13"/>
        <v/>
      </c>
      <c r="L791" s="21" t="str">
        <f t="shared" si="3"/>
        <v/>
      </c>
      <c r="M791" s="21" t="str">
        <f t="array" ref="M791">IF(H791="","",SUMif(year(N$2:BO$2),M$2,N791:BO791))</f>
        <v/>
      </c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</row>
    <row r="792">
      <c r="A792" s="16" t="str">
        <f t="shared" si="14"/>
        <v/>
      </c>
      <c r="B792" s="16" t="str">
        <f t="shared" si="15"/>
        <v/>
      </c>
      <c r="C792" s="35" t="str">
        <f t="shared" si="16"/>
        <v/>
      </c>
      <c r="D792" s="35" t="str">
        <f t="shared" si="17"/>
        <v/>
      </c>
      <c r="E792" s="35" t="str">
        <f t="shared" si="18"/>
        <v/>
      </c>
      <c r="F792" s="35" t="str">
        <f t="shared" si="19"/>
        <v/>
      </c>
      <c r="G792" s="35" t="str">
        <f t="shared" si="20"/>
        <v/>
      </c>
      <c r="H792" s="25"/>
      <c r="I792" s="47" t="str">
        <f t="shared" si="21"/>
        <v/>
      </c>
      <c r="J792" s="48"/>
      <c r="K792" s="21" t="str">
        <f t="shared" si="13"/>
        <v/>
      </c>
      <c r="L792" s="21" t="str">
        <f t="shared" si="3"/>
        <v/>
      </c>
      <c r="M792" s="21" t="str">
        <f t="array" ref="M792">IF(H792="","",SUMif(year(N$2:BO$2),M$2,N792:BO792))</f>
        <v/>
      </c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</row>
    <row r="793">
      <c r="A793" s="16" t="str">
        <f t="shared" si="14"/>
        <v/>
      </c>
      <c r="B793" s="16" t="str">
        <f t="shared" si="15"/>
        <v/>
      </c>
      <c r="C793" s="35" t="str">
        <f t="shared" si="16"/>
        <v/>
      </c>
      <c r="D793" s="35" t="str">
        <f t="shared" si="17"/>
        <v/>
      </c>
      <c r="E793" s="35" t="str">
        <f t="shared" si="18"/>
        <v/>
      </c>
      <c r="F793" s="35" t="str">
        <f t="shared" si="19"/>
        <v/>
      </c>
      <c r="G793" s="35" t="str">
        <f t="shared" si="20"/>
        <v/>
      </c>
      <c r="H793" s="25"/>
      <c r="I793" s="47" t="str">
        <f t="shared" si="21"/>
        <v/>
      </c>
      <c r="J793" s="48"/>
      <c r="K793" s="21" t="str">
        <f t="shared" si="13"/>
        <v/>
      </c>
      <c r="L793" s="21" t="str">
        <f t="shared" si="3"/>
        <v/>
      </c>
      <c r="M793" s="21" t="str">
        <f t="array" ref="M793">IF(H793="","",SUMif(year(N$2:BO$2),M$2,N793:BO793))</f>
        <v/>
      </c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</row>
    <row r="794">
      <c r="A794" s="16" t="str">
        <f t="shared" si="14"/>
        <v/>
      </c>
      <c r="B794" s="16" t="str">
        <f t="shared" si="15"/>
        <v/>
      </c>
      <c r="C794" s="35" t="str">
        <f t="shared" si="16"/>
        <v/>
      </c>
      <c r="D794" s="35" t="str">
        <f t="shared" si="17"/>
        <v/>
      </c>
      <c r="E794" s="35" t="str">
        <f t="shared" si="18"/>
        <v/>
      </c>
      <c r="F794" s="35" t="str">
        <f t="shared" si="19"/>
        <v/>
      </c>
      <c r="G794" s="35" t="str">
        <f t="shared" si="20"/>
        <v/>
      </c>
      <c r="H794" s="25"/>
      <c r="I794" s="47" t="str">
        <f t="shared" si="21"/>
        <v/>
      </c>
      <c r="J794" s="48"/>
      <c r="K794" s="21" t="str">
        <f t="shared" si="13"/>
        <v/>
      </c>
      <c r="L794" s="21" t="str">
        <f t="shared" si="3"/>
        <v/>
      </c>
      <c r="M794" s="21" t="str">
        <f t="array" ref="M794">IF(H794="","",SUMif(year(N$2:BO$2),M$2,N794:BO794))</f>
        <v/>
      </c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</row>
    <row r="795">
      <c r="A795" s="16" t="str">
        <f t="shared" si="14"/>
        <v/>
      </c>
      <c r="B795" s="16" t="str">
        <f t="shared" si="15"/>
        <v/>
      </c>
      <c r="C795" s="35" t="str">
        <f t="shared" si="16"/>
        <v/>
      </c>
      <c r="D795" s="35" t="str">
        <f t="shared" si="17"/>
        <v/>
      </c>
      <c r="E795" s="35" t="str">
        <f t="shared" si="18"/>
        <v/>
      </c>
      <c r="F795" s="35" t="str">
        <f t="shared" si="19"/>
        <v/>
      </c>
      <c r="G795" s="35" t="str">
        <f t="shared" si="20"/>
        <v/>
      </c>
      <c r="H795" s="25"/>
      <c r="I795" s="47" t="str">
        <f t="shared" si="21"/>
        <v/>
      </c>
      <c r="J795" s="48"/>
      <c r="K795" s="21" t="str">
        <f t="shared" si="13"/>
        <v/>
      </c>
      <c r="L795" s="21" t="str">
        <f t="shared" si="3"/>
        <v/>
      </c>
      <c r="M795" s="21" t="str">
        <f t="array" ref="M795">IF(H795="","",SUMif(year(N$2:BO$2),M$2,N795:BO795))</f>
        <v/>
      </c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</row>
    <row r="796">
      <c r="A796" s="16" t="str">
        <f t="shared" si="14"/>
        <v/>
      </c>
      <c r="B796" s="16" t="str">
        <f t="shared" si="15"/>
        <v/>
      </c>
      <c r="C796" s="35" t="str">
        <f t="shared" si="16"/>
        <v/>
      </c>
      <c r="D796" s="35" t="str">
        <f t="shared" si="17"/>
        <v/>
      </c>
      <c r="E796" s="35" t="str">
        <f t="shared" si="18"/>
        <v/>
      </c>
      <c r="F796" s="35" t="str">
        <f t="shared" si="19"/>
        <v/>
      </c>
      <c r="G796" s="35" t="str">
        <f t="shared" si="20"/>
        <v/>
      </c>
      <c r="H796" s="25"/>
      <c r="I796" s="47" t="str">
        <f t="shared" si="21"/>
        <v/>
      </c>
      <c r="J796" s="48"/>
      <c r="K796" s="21" t="str">
        <f t="shared" si="13"/>
        <v/>
      </c>
      <c r="L796" s="21" t="str">
        <f t="shared" si="3"/>
        <v/>
      </c>
      <c r="M796" s="21" t="str">
        <f t="array" ref="M796">IF(H796="","",SUMif(year(N$2:BO$2),M$2,N796:BO796))</f>
        <v/>
      </c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</row>
    <row r="797">
      <c r="A797" s="16" t="str">
        <f t="shared" si="14"/>
        <v/>
      </c>
      <c r="B797" s="16" t="str">
        <f t="shared" si="15"/>
        <v/>
      </c>
      <c r="C797" s="35" t="str">
        <f t="shared" si="16"/>
        <v/>
      </c>
      <c r="D797" s="35" t="str">
        <f t="shared" si="17"/>
        <v/>
      </c>
      <c r="E797" s="35" t="str">
        <f t="shared" si="18"/>
        <v/>
      </c>
      <c r="F797" s="35" t="str">
        <f t="shared" si="19"/>
        <v/>
      </c>
      <c r="G797" s="35" t="str">
        <f t="shared" si="20"/>
        <v/>
      </c>
      <c r="H797" s="25"/>
      <c r="I797" s="47" t="str">
        <f t="shared" si="21"/>
        <v/>
      </c>
      <c r="J797" s="48"/>
      <c r="K797" s="21" t="str">
        <f t="shared" si="13"/>
        <v/>
      </c>
      <c r="L797" s="21" t="str">
        <f t="shared" si="3"/>
        <v/>
      </c>
      <c r="M797" s="21" t="str">
        <f t="array" ref="M797">IF(H797="","",SUMif(year(N$2:BO$2),M$2,N797:BO797))</f>
        <v/>
      </c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</row>
    <row r="798">
      <c r="A798" s="16" t="str">
        <f t="shared" si="14"/>
        <v/>
      </c>
      <c r="B798" s="16" t="str">
        <f t="shared" si="15"/>
        <v/>
      </c>
      <c r="C798" s="35" t="str">
        <f t="shared" si="16"/>
        <v/>
      </c>
      <c r="D798" s="35" t="str">
        <f t="shared" si="17"/>
        <v/>
      </c>
      <c r="E798" s="35" t="str">
        <f t="shared" si="18"/>
        <v/>
      </c>
      <c r="F798" s="35" t="str">
        <f t="shared" si="19"/>
        <v/>
      </c>
      <c r="G798" s="35" t="str">
        <f t="shared" si="20"/>
        <v/>
      </c>
      <c r="H798" s="25"/>
      <c r="I798" s="47" t="str">
        <f t="shared" si="21"/>
        <v/>
      </c>
      <c r="J798" s="48"/>
      <c r="K798" s="21" t="str">
        <f t="shared" si="13"/>
        <v/>
      </c>
      <c r="L798" s="21" t="str">
        <f t="shared" si="3"/>
        <v/>
      </c>
      <c r="M798" s="21" t="str">
        <f t="array" ref="M798">IF(H798="","",SUMif(year(N$2:BO$2),M$2,N798:BO798))</f>
        <v/>
      </c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</row>
    <row r="799">
      <c r="A799" s="16" t="str">
        <f t="shared" si="14"/>
        <v/>
      </c>
      <c r="B799" s="16" t="str">
        <f t="shared" si="15"/>
        <v/>
      </c>
      <c r="C799" s="35" t="str">
        <f t="shared" si="16"/>
        <v/>
      </c>
      <c r="D799" s="35" t="str">
        <f t="shared" si="17"/>
        <v/>
      </c>
      <c r="E799" s="35" t="str">
        <f t="shared" si="18"/>
        <v/>
      </c>
      <c r="F799" s="35" t="str">
        <f t="shared" si="19"/>
        <v/>
      </c>
      <c r="G799" s="35" t="str">
        <f t="shared" si="20"/>
        <v/>
      </c>
      <c r="H799" s="25"/>
      <c r="I799" s="47" t="str">
        <f t="shared" si="21"/>
        <v/>
      </c>
      <c r="J799" s="48"/>
      <c r="K799" s="21" t="str">
        <f t="shared" si="13"/>
        <v/>
      </c>
      <c r="L799" s="21" t="str">
        <f t="shared" si="3"/>
        <v/>
      </c>
      <c r="M799" s="21" t="str">
        <f t="array" ref="M799">IF(H799="","",SUMif(year(N$2:BO$2),M$2,N799:BO799))</f>
        <v/>
      </c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</row>
    <row r="800">
      <c r="A800" s="16" t="str">
        <f t="shared" si="14"/>
        <v/>
      </c>
      <c r="B800" s="16" t="str">
        <f t="shared" si="15"/>
        <v/>
      </c>
      <c r="C800" s="35" t="str">
        <f t="shared" si="16"/>
        <v/>
      </c>
      <c r="D800" s="35" t="str">
        <f t="shared" si="17"/>
        <v/>
      </c>
      <c r="E800" s="35" t="str">
        <f t="shared" si="18"/>
        <v/>
      </c>
      <c r="F800" s="35" t="str">
        <f t="shared" si="19"/>
        <v/>
      </c>
      <c r="G800" s="35" t="str">
        <f t="shared" si="20"/>
        <v/>
      </c>
      <c r="H800" s="25"/>
      <c r="I800" s="47" t="str">
        <f t="shared" si="21"/>
        <v/>
      </c>
      <c r="J800" s="48"/>
      <c r="K800" s="21" t="str">
        <f t="shared" si="13"/>
        <v/>
      </c>
      <c r="L800" s="21" t="str">
        <f t="shared" si="3"/>
        <v/>
      </c>
      <c r="M800" s="21" t="str">
        <f t="array" ref="M800">IF(H800="","",SUMif(year(N$2:BO$2),M$2,N800:BO800))</f>
        <v/>
      </c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</row>
    <row r="801">
      <c r="A801" s="16" t="str">
        <f t="shared" si="14"/>
        <v/>
      </c>
      <c r="B801" s="16" t="str">
        <f t="shared" si="15"/>
        <v/>
      </c>
      <c r="C801" s="35" t="str">
        <f t="shared" si="16"/>
        <v/>
      </c>
      <c r="D801" s="35" t="str">
        <f t="shared" si="17"/>
        <v/>
      </c>
      <c r="E801" s="35" t="str">
        <f t="shared" si="18"/>
        <v/>
      </c>
      <c r="F801" s="35" t="str">
        <f t="shared" si="19"/>
        <v/>
      </c>
      <c r="G801" s="35" t="str">
        <f t="shared" si="20"/>
        <v/>
      </c>
      <c r="H801" s="25"/>
      <c r="I801" s="47" t="str">
        <f t="shared" si="21"/>
        <v/>
      </c>
      <c r="J801" s="48"/>
      <c r="K801" s="21" t="str">
        <f t="shared" si="13"/>
        <v/>
      </c>
      <c r="L801" s="21" t="str">
        <f t="shared" si="3"/>
        <v/>
      </c>
      <c r="M801" s="21" t="str">
        <f t="array" ref="M801">IF(H801="","",SUMif(year(N$2:BO$2),M$2,N801:BO801))</f>
        <v/>
      </c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</row>
    <row r="802">
      <c r="A802" s="16" t="str">
        <f t="shared" si="14"/>
        <v/>
      </c>
      <c r="B802" s="16" t="str">
        <f t="shared" si="15"/>
        <v/>
      </c>
      <c r="C802" s="35" t="str">
        <f t="shared" si="16"/>
        <v/>
      </c>
      <c r="D802" s="35" t="str">
        <f t="shared" si="17"/>
        <v/>
      </c>
      <c r="E802" s="35" t="str">
        <f t="shared" si="18"/>
        <v/>
      </c>
      <c r="F802" s="35" t="str">
        <f t="shared" si="19"/>
        <v/>
      </c>
      <c r="G802" s="35" t="str">
        <f t="shared" si="20"/>
        <v/>
      </c>
      <c r="H802" s="25"/>
      <c r="I802" s="47" t="str">
        <f t="shared" si="21"/>
        <v/>
      </c>
      <c r="J802" s="48"/>
      <c r="K802" s="21" t="str">
        <f t="shared" si="13"/>
        <v/>
      </c>
      <c r="L802" s="21" t="str">
        <f t="shared" si="3"/>
        <v/>
      </c>
      <c r="M802" s="21" t="str">
        <f t="array" ref="M802">IF(H802="","",SUMif(year(N$2:BO$2),M$2,N802:BO802))</f>
        <v/>
      </c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</row>
    <row r="803">
      <c r="A803" s="16" t="str">
        <f t="shared" si="14"/>
        <v/>
      </c>
      <c r="B803" s="16" t="str">
        <f t="shared" si="15"/>
        <v/>
      </c>
      <c r="C803" s="35" t="str">
        <f t="shared" si="16"/>
        <v/>
      </c>
      <c r="D803" s="35" t="str">
        <f t="shared" si="17"/>
        <v/>
      </c>
      <c r="E803" s="35" t="str">
        <f t="shared" si="18"/>
        <v/>
      </c>
      <c r="F803" s="35" t="str">
        <f t="shared" si="19"/>
        <v/>
      </c>
      <c r="G803" s="35" t="str">
        <f t="shared" si="20"/>
        <v/>
      </c>
      <c r="H803" s="25"/>
      <c r="I803" s="47" t="str">
        <f t="shared" si="21"/>
        <v/>
      </c>
      <c r="J803" s="48"/>
      <c r="K803" s="21" t="str">
        <f t="shared" si="13"/>
        <v/>
      </c>
      <c r="L803" s="21" t="str">
        <f t="shared" si="3"/>
        <v/>
      </c>
      <c r="M803" s="21" t="str">
        <f t="array" ref="M803">IF(H803="","",SUMif(year(N$2:BO$2),M$2,N803:BO803))</f>
        <v/>
      </c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</row>
    <row r="804">
      <c r="A804" s="16" t="str">
        <f t="shared" si="14"/>
        <v/>
      </c>
      <c r="B804" s="16" t="str">
        <f t="shared" si="15"/>
        <v/>
      </c>
      <c r="C804" s="35" t="str">
        <f t="shared" si="16"/>
        <v/>
      </c>
      <c r="D804" s="35" t="str">
        <f t="shared" si="17"/>
        <v/>
      </c>
      <c r="E804" s="35" t="str">
        <f t="shared" si="18"/>
        <v/>
      </c>
      <c r="F804" s="35" t="str">
        <f t="shared" si="19"/>
        <v/>
      </c>
      <c r="G804" s="35" t="str">
        <f t="shared" si="20"/>
        <v/>
      </c>
      <c r="H804" s="25"/>
      <c r="I804" s="47" t="str">
        <f t="shared" si="21"/>
        <v/>
      </c>
      <c r="J804" s="48"/>
      <c r="K804" s="21" t="str">
        <f t="shared" si="13"/>
        <v/>
      </c>
      <c r="L804" s="21" t="str">
        <f t="shared" si="3"/>
        <v/>
      </c>
      <c r="M804" s="21" t="str">
        <f t="array" ref="M804">IF(H804="","",SUMif(year(N$2:BO$2),M$2,N804:BO804))</f>
        <v/>
      </c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</row>
    <row r="805">
      <c r="A805" s="16" t="str">
        <f t="shared" si="14"/>
        <v/>
      </c>
      <c r="B805" s="16" t="str">
        <f t="shared" si="15"/>
        <v/>
      </c>
      <c r="C805" s="35" t="str">
        <f t="shared" si="16"/>
        <v/>
      </c>
      <c r="D805" s="35" t="str">
        <f t="shared" si="17"/>
        <v/>
      </c>
      <c r="E805" s="35" t="str">
        <f t="shared" si="18"/>
        <v/>
      </c>
      <c r="F805" s="35" t="str">
        <f t="shared" si="19"/>
        <v/>
      </c>
      <c r="G805" s="35" t="str">
        <f t="shared" si="20"/>
        <v/>
      </c>
      <c r="H805" s="25"/>
      <c r="I805" s="47" t="str">
        <f t="shared" si="21"/>
        <v/>
      </c>
      <c r="J805" s="48"/>
      <c r="K805" s="21" t="str">
        <f t="shared" si="13"/>
        <v/>
      </c>
      <c r="L805" s="21" t="str">
        <f t="shared" si="3"/>
        <v/>
      </c>
      <c r="M805" s="21" t="str">
        <f t="array" ref="M805">IF(H805="","",SUMif(year(N$2:BO$2),M$2,N805:BO805))</f>
        <v/>
      </c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</row>
    <row r="806">
      <c r="A806" s="16" t="str">
        <f t="shared" si="14"/>
        <v/>
      </c>
      <c r="B806" s="16" t="str">
        <f t="shared" si="15"/>
        <v/>
      </c>
      <c r="C806" s="35" t="str">
        <f t="shared" si="16"/>
        <v/>
      </c>
      <c r="D806" s="35" t="str">
        <f t="shared" si="17"/>
        <v/>
      </c>
      <c r="E806" s="35" t="str">
        <f t="shared" si="18"/>
        <v/>
      </c>
      <c r="F806" s="35" t="str">
        <f t="shared" si="19"/>
        <v/>
      </c>
      <c r="G806" s="35" t="str">
        <f t="shared" si="20"/>
        <v/>
      </c>
      <c r="H806" s="25"/>
      <c r="I806" s="47" t="str">
        <f t="shared" si="21"/>
        <v/>
      </c>
      <c r="J806" s="48"/>
      <c r="K806" s="21" t="str">
        <f t="shared" si="13"/>
        <v/>
      </c>
      <c r="L806" s="21" t="str">
        <f t="shared" si="3"/>
        <v/>
      </c>
      <c r="M806" s="21" t="str">
        <f t="array" ref="M806">IF(H806="","",SUMif(year(N$2:BO$2),M$2,N806:BO806))</f>
        <v/>
      </c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</row>
    <row r="807">
      <c r="A807" s="16" t="str">
        <f t="shared" si="14"/>
        <v/>
      </c>
      <c r="B807" s="16" t="str">
        <f t="shared" si="15"/>
        <v/>
      </c>
      <c r="C807" s="35" t="str">
        <f t="shared" si="16"/>
        <v/>
      </c>
      <c r="D807" s="35" t="str">
        <f t="shared" si="17"/>
        <v/>
      </c>
      <c r="E807" s="35" t="str">
        <f t="shared" si="18"/>
        <v/>
      </c>
      <c r="F807" s="35" t="str">
        <f t="shared" si="19"/>
        <v/>
      </c>
      <c r="G807" s="35" t="str">
        <f t="shared" si="20"/>
        <v/>
      </c>
      <c r="H807" s="25"/>
      <c r="I807" s="47" t="str">
        <f t="shared" si="21"/>
        <v/>
      </c>
      <c r="J807" s="48"/>
      <c r="K807" s="21" t="str">
        <f t="shared" si="13"/>
        <v/>
      </c>
      <c r="L807" s="21" t="str">
        <f t="shared" si="3"/>
        <v/>
      </c>
      <c r="M807" s="21" t="str">
        <f t="array" ref="M807">IF(H807="","",SUMif(year(N$2:BO$2),M$2,N807:BO807))</f>
        <v/>
      </c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</row>
    <row r="808">
      <c r="A808" s="16" t="str">
        <f t="shared" si="14"/>
        <v/>
      </c>
      <c r="B808" s="16" t="str">
        <f t="shared" si="15"/>
        <v/>
      </c>
      <c r="C808" s="35" t="str">
        <f t="shared" si="16"/>
        <v/>
      </c>
      <c r="D808" s="35" t="str">
        <f t="shared" si="17"/>
        <v/>
      </c>
      <c r="E808" s="35" t="str">
        <f t="shared" si="18"/>
        <v/>
      </c>
      <c r="F808" s="35" t="str">
        <f t="shared" si="19"/>
        <v/>
      </c>
      <c r="G808" s="35" t="str">
        <f t="shared" si="20"/>
        <v/>
      </c>
      <c r="H808" s="25"/>
      <c r="I808" s="47" t="str">
        <f t="shared" si="21"/>
        <v/>
      </c>
      <c r="J808" s="48"/>
      <c r="K808" s="21" t="str">
        <f t="shared" si="13"/>
        <v/>
      </c>
      <c r="L808" s="21" t="str">
        <f t="shared" si="3"/>
        <v/>
      </c>
      <c r="M808" s="21" t="str">
        <f t="array" ref="M808">IF(H808="","",SUMif(year(N$2:BO$2),M$2,N808:BO808))</f>
        <v/>
      </c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</row>
    <row r="809">
      <c r="A809" s="16" t="str">
        <f t="shared" si="14"/>
        <v/>
      </c>
      <c r="B809" s="16" t="str">
        <f t="shared" si="15"/>
        <v/>
      </c>
      <c r="C809" s="35" t="str">
        <f t="shared" si="16"/>
        <v/>
      </c>
      <c r="D809" s="35" t="str">
        <f t="shared" si="17"/>
        <v/>
      </c>
      <c r="E809" s="35" t="str">
        <f t="shared" si="18"/>
        <v/>
      </c>
      <c r="F809" s="35" t="str">
        <f t="shared" si="19"/>
        <v/>
      </c>
      <c r="G809" s="35" t="str">
        <f t="shared" si="20"/>
        <v/>
      </c>
      <c r="H809" s="25"/>
      <c r="I809" s="47" t="str">
        <f t="shared" si="21"/>
        <v/>
      </c>
      <c r="J809" s="48"/>
      <c r="K809" s="21" t="str">
        <f t="shared" si="13"/>
        <v/>
      </c>
      <c r="L809" s="21" t="str">
        <f t="shared" si="3"/>
        <v/>
      </c>
      <c r="M809" s="21" t="str">
        <f t="array" ref="M809">IF(H809="","",SUMif(year(N$2:BO$2),M$2,N809:BO809))</f>
        <v/>
      </c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</row>
    <row r="810">
      <c r="A810" s="16" t="str">
        <f t="shared" si="14"/>
        <v/>
      </c>
      <c r="B810" s="16" t="str">
        <f t="shared" si="15"/>
        <v/>
      </c>
      <c r="C810" s="35" t="str">
        <f t="shared" si="16"/>
        <v/>
      </c>
      <c r="D810" s="35" t="str">
        <f t="shared" si="17"/>
        <v/>
      </c>
      <c r="E810" s="35" t="str">
        <f t="shared" si="18"/>
        <v/>
      </c>
      <c r="F810" s="35" t="str">
        <f t="shared" si="19"/>
        <v/>
      </c>
      <c r="G810" s="35" t="str">
        <f t="shared" si="20"/>
        <v/>
      </c>
      <c r="H810" s="25"/>
      <c r="I810" s="47" t="str">
        <f t="shared" si="21"/>
        <v/>
      </c>
      <c r="J810" s="48"/>
      <c r="K810" s="21" t="str">
        <f t="shared" si="13"/>
        <v/>
      </c>
      <c r="L810" s="21" t="str">
        <f t="shared" si="3"/>
        <v/>
      </c>
      <c r="M810" s="21" t="str">
        <f t="array" ref="M810">IF(H810="","",SUMif(year(N$2:BO$2),M$2,N810:BO810))</f>
        <v/>
      </c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</row>
    <row r="811">
      <c r="A811" s="16" t="str">
        <f t="shared" si="14"/>
        <v/>
      </c>
      <c r="B811" s="16" t="str">
        <f t="shared" si="15"/>
        <v/>
      </c>
      <c r="C811" s="35" t="str">
        <f t="shared" si="16"/>
        <v/>
      </c>
      <c r="D811" s="35" t="str">
        <f t="shared" si="17"/>
        <v/>
      </c>
      <c r="E811" s="35" t="str">
        <f t="shared" si="18"/>
        <v/>
      </c>
      <c r="F811" s="35" t="str">
        <f t="shared" si="19"/>
        <v/>
      </c>
      <c r="G811" s="35" t="str">
        <f t="shared" si="20"/>
        <v/>
      </c>
      <c r="H811" s="25"/>
      <c r="I811" s="47" t="str">
        <f t="shared" si="21"/>
        <v/>
      </c>
      <c r="J811" s="48"/>
      <c r="K811" s="21" t="str">
        <f t="shared" si="13"/>
        <v/>
      </c>
      <c r="L811" s="21" t="str">
        <f t="shared" si="3"/>
        <v/>
      </c>
      <c r="M811" s="21" t="str">
        <f t="array" ref="M811">IF(H811="","",SUMif(year(N$2:BO$2),M$2,N811:BO811))</f>
        <v/>
      </c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</row>
    <row r="812">
      <c r="A812" s="16" t="str">
        <f t="shared" si="14"/>
        <v/>
      </c>
      <c r="B812" s="16" t="str">
        <f t="shared" si="15"/>
        <v/>
      </c>
      <c r="C812" s="35" t="str">
        <f t="shared" si="16"/>
        <v/>
      </c>
      <c r="D812" s="35" t="str">
        <f t="shared" si="17"/>
        <v/>
      </c>
      <c r="E812" s="35" t="str">
        <f t="shared" si="18"/>
        <v/>
      </c>
      <c r="F812" s="35" t="str">
        <f t="shared" si="19"/>
        <v/>
      </c>
      <c r="G812" s="35" t="str">
        <f t="shared" si="20"/>
        <v/>
      </c>
      <c r="H812" s="25"/>
      <c r="I812" s="47" t="str">
        <f t="shared" si="21"/>
        <v/>
      </c>
      <c r="J812" s="48"/>
      <c r="K812" s="21" t="str">
        <f t="shared" si="13"/>
        <v/>
      </c>
      <c r="L812" s="21" t="str">
        <f t="shared" si="3"/>
        <v/>
      </c>
      <c r="M812" s="21" t="str">
        <f t="array" ref="M812">IF(H812="","",SUMif(year(N$2:BO$2),M$2,N812:BO812))</f>
        <v/>
      </c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</row>
    <row r="813">
      <c r="A813" s="16" t="str">
        <f t="shared" si="14"/>
        <v/>
      </c>
      <c r="B813" s="16" t="str">
        <f t="shared" si="15"/>
        <v/>
      </c>
      <c r="C813" s="35" t="str">
        <f t="shared" si="16"/>
        <v/>
      </c>
      <c r="D813" s="35" t="str">
        <f t="shared" si="17"/>
        <v/>
      </c>
      <c r="E813" s="35" t="str">
        <f t="shared" si="18"/>
        <v/>
      </c>
      <c r="F813" s="35" t="str">
        <f t="shared" si="19"/>
        <v/>
      </c>
      <c r="G813" s="35" t="str">
        <f t="shared" si="20"/>
        <v/>
      </c>
      <c r="H813" s="25"/>
      <c r="I813" s="47" t="str">
        <f t="shared" si="21"/>
        <v/>
      </c>
      <c r="J813" s="48"/>
      <c r="K813" s="21" t="str">
        <f t="shared" si="13"/>
        <v/>
      </c>
      <c r="L813" s="21" t="str">
        <f t="shared" si="3"/>
        <v/>
      </c>
      <c r="M813" s="21" t="str">
        <f t="array" ref="M813">IF(H813="","",SUMif(year(N$2:BO$2),M$2,N813:BO813))</f>
        <v/>
      </c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</row>
    <row r="814">
      <c r="A814" s="16" t="str">
        <f t="shared" si="14"/>
        <v/>
      </c>
      <c r="B814" s="16" t="str">
        <f t="shared" si="15"/>
        <v/>
      </c>
      <c r="C814" s="35" t="str">
        <f t="shared" si="16"/>
        <v/>
      </c>
      <c r="D814" s="35" t="str">
        <f t="shared" si="17"/>
        <v/>
      </c>
      <c r="E814" s="35" t="str">
        <f t="shared" si="18"/>
        <v/>
      </c>
      <c r="F814" s="35" t="str">
        <f t="shared" si="19"/>
        <v/>
      </c>
      <c r="G814" s="35" t="str">
        <f t="shared" si="20"/>
        <v/>
      </c>
      <c r="H814" s="25"/>
      <c r="I814" s="47" t="str">
        <f t="shared" si="21"/>
        <v/>
      </c>
      <c r="J814" s="48"/>
      <c r="K814" s="21" t="str">
        <f t="shared" si="13"/>
        <v/>
      </c>
      <c r="L814" s="21" t="str">
        <f t="shared" si="3"/>
        <v/>
      </c>
      <c r="M814" s="21" t="str">
        <f t="array" ref="M814">IF(H814="","",SUMif(year(N$2:BO$2),M$2,N814:BO814))</f>
        <v/>
      </c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</row>
    <row r="815">
      <c r="A815" s="16" t="str">
        <f t="shared" si="14"/>
        <v/>
      </c>
      <c r="B815" s="16" t="str">
        <f t="shared" si="15"/>
        <v/>
      </c>
      <c r="C815" s="35" t="str">
        <f t="shared" si="16"/>
        <v/>
      </c>
      <c r="D815" s="35" t="str">
        <f t="shared" si="17"/>
        <v/>
      </c>
      <c r="E815" s="35" t="str">
        <f t="shared" si="18"/>
        <v/>
      </c>
      <c r="F815" s="35" t="str">
        <f t="shared" si="19"/>
        <v/>
      </c>
      <c r="G815" s="35" t="str">
        <f t="shared" si="20"/>
        <v/>
      </c>
      <c r="H815" s="25"/>
      <c r="I815" s="47" t="str">
        <f t="shared" si="21"/>
        <v/>
      </c>
      <c r="J815" s="48"/>
      <c r="K815" s="21" t="str">
        <f t="shared" si="13"/>
        <v/>
      </c>
      <c r="L815" s="21" t="str">
        <f t="shared" si="3"/>
        <v/>
      </c>
      <c r="M815" s="21" t="str">
        <f t="array" ref="M815">IF(H815="","",SUMif(year(N$2:BO$2),M$2,N815:BO815))</f>
        <v/>
      </c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</row>
    <row r="816">
      <c r="A816" s="16" t="str">
        <f t="shared" si="14"/>
        <v/>
      </c>
      <c r="B816" s="16" t="str">
        <f t="shared" si="15"/>
        <v/>
      </c>
      <c r="C816" s="35" t="str">
        <f t="shared" si="16"/>
        <v/>
      </c>
      <c r="D816" s="35" t="str">
        <f t="shared" si="17"/>
        <v/>
      </c>
      <c r="E816" s="35" t="str">
        <f t="shared" si="18"/>
        <v/>
      </c>
      <c r="F816" s="35" t="str">
        <f t="shared" si="19"/>
        <v/>
      </c>
      <c r="G816" s="35" t="str">
        <f t="shared" si="20"/>
        <v/>
      </c>
      <c r="H816" s="25"/>
      <c r="I816" s="47" t="str">
        <f t="shared" si="21"/>
        <v/>
      </c>
      <c r="J816" s="48"/>
      <c r="K816" s="21" t="str">
        <f t="shared" si="13"/>
        <v/>
      </c>
      <c r="L816" s="21" t="str">
        <f t="shared" si="3"/>
        <v/>
      </c>
      <c r="M816" s="21" t="str">
        <f t="array" ref="M816">IF(H816="","",SUMif(year(N$2:BO$2),M$2,N816:BO816))</f>
        <v/>
      </c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</row>
    <row r="817">
      <c r="A817" s="16" t="str">
        <f t="shared" si="14"/>
        <v/>
      </c>
      <c r="B817" s="16" t="str">
        <f t="shared" si="15"/>
        <v/>
      </c>
      <c r="C817" s="35" t="str">
        <f t="shared" si="16"/>
        <v/>
      </c>
      <c r="D817" s="35" t="str">
        <f t="shared" si="17"/>
        <v/>
      </c>
      <c r="E817" s="35" t="str">
        <f t="shared" si="18"/>
        <v/>
      </c>
      <c r="F817" s="35" t="str">
        <f t="shared" si="19"/>
        <v/>
      </c>
      <c r="G817" s="35" t="str">
        <f t="shared" si="20"/>
        <v/>
      </c>
      <c r="H817" s="25"/>
      <c r="I817" s="47" t="str">
        <f t="shared" si="21"/>
        <v/>
      </c>
      <c r="J817" s="48"/>
      <c r="K817" s="21" t="str">
        <f t="shared" si="13"/>
        <v/>
      </c>
      <c r="L817" s="21" t="str">
        <f t="shared" si="3"/>
        <v/>
      </c>
      <c r="M817" s="21" t="str">
        <f t="array" ref="M817">IF(H817="","",SUMif(year(N$2:BO$2),M$2,N817:BO817))</f>
        <v/>
      </c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</row>
    <row r="818">
      <c r="A818" s="16" t="str">
        <f t="shared" si="14"/>
        <v/>
      </c>
      <c r="B818" s="16" t="str">
        <f t="shared" si="15"/>
        <v/>
      </c>
      <c r="C818" s="35" t="str">
        <f t="shared" si="16"/>
        <v/>
      </c>
      <c r="D818" s="35" t="str">
        <f t="shared" si="17"/>
        <v/>
      </c>
      <c r="E818" s="35" t="str">
        <f t="shared" si="18"/>
        <v/>
      </c>
      <c r="F818" s="35" t="str">
        <f t="shared" si="19"/>
        <v/>
      </c>
      <c r="G818" s="35" t="str">
        <f t="shared" si="20"/>
        <v/>
      </c>
      <c r="H818" s="25"/>
      <c r="I818" s="47" t="str">
        <f t="shared" si="21"/>
        <v/>
      </c>
      <c r="J818" s="48"/>
      <c r="K818" s="21" t="str">
        <f t="shared" si="13"/>
        <v/>
      </c>
      <c r="L818" s="21" t="str">
        <f t="shared" si="3"/>
        <v/>
      </c>
      <c r="M818" s="21" t="str">
        <f t="array" ref="M818">IF(H818="","",SUMif(year(N$2:BO$2),M$2,N818:BO818))</f>
        <v/>
      </c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</row>
    <row r="819">
      <c r="A819" s="16" t="str">
        <f t="shared" si="14"/>
        <v/>
      </c>
      <c r="B819" s="16" t="str">
        <f t="shared" si="15"/>
        <v/>
      </c>
      <c r="C819" s="35" t="str">
        <f t="shared" si="16"/>
        <v/>
      </c>
      <c r="D819" s="35" t="str">
        <f t="shared" si="17"/>
        <v/>
      </c>
      <c r="E819" s="35" t="str">
        <f t="shared" si="18"/>
        <v/>
      </c>
      <c r="F819" s="35" t="str">
        <f t="shared" si="19"/>
        <v/>
      </c>
      <c r="G819" s="35" t="str">
        <f t="shared" si="20"/>
        <v/>
      </c>
      <c r="H819" s="25"/>
      <c r="I819" s="47" t="str">
        <f t="shared" si="21"/>
        <v/>
      </c>
      <c r="J819" s="48"/>
      <c r="K819" s="21" t="str">
        <f t="shared" si="13"/>
        <v/>
      </c>
      <c r="L819" s="21" t="str">
        <f t="shared" si="3"/>
        <v/>
      </c>
      <c r="M819" s="21" t="str">
        <f t="array" ref="M819">IF(H819="","",SUMif(year(N$2:BO$2),M$2,N819:BO819))</f>
        <v/>
      </c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</row>
    <row r="820">
      <c r="A820" s="16" t="str">
        <f t="shared" si="14"/>
        <v/>
      </c>
      <c r="B820" s="16" t="str">
        <f t="shared" si="15"/>
        <v/>
      </c>
      <c r="C820" s="35" t="str">
        <f t="shared" si="16"/>
        <v/>
      </c>
      <c r="D820" s="35" t="str">
        <f t="shared" si="17"/>
        <v/>
      </c>
      <c r="E820" s="35" t="str">
        <f t="shared" si="18"/>
        <v/>
      </c>
      <c r="F820" s="35" t="str">
        <f t="shared" si="19"/>
        <v/>
      </c>
      <c r="G820" s="35" t="str">
        <f t="shared" si="20"/>
        <v/>
      </c>
      <c r="H820" s="25"/>
      <c r="I820" s="47" t="str">
        <f t="shared" si="21"/>
        <v/>
      </c>
      <c r="J820" s="48"/>
      <c r="K820" s="21" t="str">
        <f t="shared" si="13"/>
        <v/>
      </c>
      <c r="L820" s="21" t="str">
        <f t="shared" si="3"/>
        <v/>
      </c>
      <c r="M820" s="21" t="str">
        <f t="array" ref="M820">IF(H820="","",SUMif(year(N$2:BO$2),M$2,N820:BO820))</f>
        <v/>
      </c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</row>
    <row r="821">
      <c r="A821" s="16" t="str">
        <f t="shared" si="14"/>
        <v/>
      </c>
      <c r="B821" s="16" t="str">
        <f t="shared" si="15"/>
        <v/>
      </c>
      <c r="C821" s="35" t="str">
        <f t="shared" si="16"/>
        <v/>
      </c>
      <c r="D821" s="35" t="str">
        <f t="shared" si="17"/>
        <v/>
      </c>
      <c r="E821" s="35" t="str">
        <f t="shared" si="18"/>
        <v/>
      </c>
      <c r="F821" s="35" t="str">
        <f t="shared" si="19"/>
        <v/>
      </c>
      <c r="G821" s="35" t="str">
        <f t="shared" si="20"/>
        <v/>
      </c>
      <c r="H821" s="25"/>
      <c r="I821" s="47" t="str">
        <f t="shared" si="21"/>
        <v/>
      </c>
      <c r="J821" s="48"/>
      <c r="K821" s="21" t="str">
        <f t="shared" si="13"/>
        <v/>
      </c>
      <c r="L821" s="21" t="str">
        <f t="shared" si="3"/>
        <v/>
      </c>
      <c r="M821" s="21" t="str">
        <f t="array" ref="M821">IF(H821="","",SUMif(year(N$2:BO$2),M$2,N821:BO821))</f>
        <v/>
      </c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</row>
    <row r="822">
      <c r="A822" s="16" t="str">
        <f t="shared" si="14"/>
        <v/>
      </c>
      <c r="B822" s="16" t="str">
        <f t="shared" si="15"/>
        <v/>
      </c>
      <c r="C822" s="35" t="str">
        <f t="shared" si="16"/>
        <v/>
      </c>
      <c r="D822" s="35" t="str">
        <f t="shared" si="17"/>
        <v/>
      </c>
      <c r="E822" s="35" t="str">
        <f t="shared" si="18"/>
        <v/>
      </c>
      <c r="F822" s="35" t="str">
        <f t="shared" si="19"/>
        <v/>
      </c>
      <c r="G822" s="35" t="str">
        <f t="shared" si="20"/>
        <v/>
      </c>
      <c r="H822" s="25"/>
      <c r="I822" s="47" t="str">
        <f t="shared" si="21"/>
        <v/>
      </c>
      <c r="J822" s="48"/>
      <c r="K822" s="21" t="str">
        <f t="shared" si="13"/>
        <v/>
      </c>
      <c r="L822" s="21" t="str">
        <f t="shared" si="3"/>
        <v/>
      </c>
      <c r="M822" s="21" t="str">
        <f t="array" ref="M822">IF(H822="","",SUMif(year(N$2:BO$2),M$2,N822:BO822))</f>
        <v/>
      </c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</row>
    <row r="823">
      <c r="A823" s="16" t="str">
        <f t="shared" si="14"/>
        <v/>
      </c>
      <c r="B823" s="16" t="str">
        <f t="shared" si="15"/>
        <v/>
      </c>
      <c r="C823" s="35" t="str">
        <f t="shared" si="16"/>
        <v/>
      </c>
      <c r="D823" s="35" t="str">
        <f t="shared" si="17"/>
        <v/>
      </c>
      <c r="E823" s="35" t="str">
        <f t="shared" si="18"/>
        <v/>
      </c>
      <c r="F823" s="35" t="str">
        <f t="shared" si="19"/>
        <v/>
      </c>
      <c r="G823" s="35" t="str">
        <f t="shared" si="20"/>
        <v/>
      </c>
      <c r="H823" s="25"/>
      <c r="I823" s="47" t="str">
        <f t="shared" si="21"/>
        <v/>
      </c>
      <c r="J823" s="48"/>
      <c r="K823" s="21" t="str">
        <f t="shared" si="13"/>
        <v/>
      </c>
      <c r="L823" s="21" t="str">
        <f t="shared" si="3"/>
        <v/>
      </c>
      <c r="M823" s="21" t="str">
        <f t="array" ref="M823">IF(H823="","",SUMif(year(N$2:BO$2),M$2,N823:BO823))</f>
        <v/>
      </c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</row>
    <row r="824">
      <c r="A824" s="16" t="str">
        <f t="shared" si="14"/>
        <v/>
      </c>
      <c r="B824" s="16" t="str">
        <f t="shared" si="15"/>
        <v/>
      </c>
      <c r="C824" s="35" t="str">
        <f t="shared" si="16"/>
        <v/>
      </c>
      <c r="D824" s="35" t="str">
        <f t="shared" si="17"/>
        <v/>
      </c>
      <c r="E824" s="35" t="str">
        <f t="shared" si="18"/>
        <v/>
      </c>
      <c r="F824" s="35" t="str">
        <f t="shared" si="19"/>
        <v/>
      </c>
      <c r="G824" s="35" t="str">
        <f t="shared" si="20"/>
        <v/>
      </c>
      <c r="H824" s="25"/>
      <c r="I824" s="47" t="str">
        <f t="shared" si="21"/>
        <v/>
      </c>
      <c r="J824" s="48"/>
      <c r="K824" s="21" t="str">
        <f t="shared" si="13"/>
        <v/>
      </c>
      <c r="L824" s="21" t="str">
        <f t="shared" si="3"/>
        <v/>
      </c>
      <c r="M824" s="21" t="str">
        <f t="array" ref="M824">IF(H824="","",SUMif(year(N$2:BO$2),M$2,N824:BO824))</f>
        <v/>
      </c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</row>
    <row r="825">
      <c r="A825" s="16" t="str">
        <f t="shared" si="14"/>
        <v/>
      </c>
      <c r="B825" s="16" t="str">
        <f t="shared" si="15"/>
        <v/>
      </c>
      <c r="C825" s="35" t="str">
        <f t="shared" si="16"/>
        <v/>
      </c>
      <c r="D825" s="35" t="str">
        <f t="shared" si="17"/>
        <v/>
      </c>
      <c r="E825" s="35" t="str">
        <f t="shared" si="18"/>
        <v/>
      </c>
      <c r="F825" s="35" t="str">
        <f t="shared" si="19"/>
        <v/>
      </c>
      <c r="G825" s="35" t="str">
        <f t="shared" si="20"/>
        <v/>
      </c>
      <c r="H825" s="25"/>
      <c r="I825" s="47" t="str">
        <f t="shared" si="21"/>
        <v/>
      </c>
      <c r="J825" s="48"/>
      <c r="K825" s="21" t="str">
        <f t="shared" si="13"/>
        <v/>
      </c>
      <c r="L825" s="21" t="str">
        <f t="shared" si="3"/>
        <v/>
      </c>
      <c r="M825" s="21" t="str">
        <f t="array" ref="M825">IF(H825="","",SUMif(year(N$2:BO$2),M$2,N825:BO825))</f>
        <v/>
      </c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</row>
    <row r="826">
      <c r="A826" s="16" t="str">
        <f t="shared" si="14"/>
        <v/>
      </c>
      <c r="B826" s="16" t="str">
        <f t="shared" si="15"/>
        <v/>
      </c>
      <c r="C826" s="35" t="str">
        <f t="shared" si="16"/>
        <v/>
      </c>
      <c r="D826" s="35" t="str">
        <f t="shared" si="17"/>
        <v/>
      </c>
      <c r="E826" s="35" t="str">
        <f t="shared" si="18"/>
        <v/>
      </c>
      <c r="F826" s="35" t="str">
        <f t="shared" si="19"/>
        <v/>
      </c>
      <c r="G826" s="35" t="str">
        <f t="shared" si="20"/>
        <v/>
      </c>
      <c r="H826" s="25"/>
      <c r="I826" s="47" t="str">
        <f t="shared" si="21"/>
        <v/>
      </c>
      <c r="J826" s="48"/>
      <c r="K826" s="21" t="str">
        <f t="shared" si="13"/>
        <v/>
      </c>
      <c r="L826" s="21" t="str">
        <f t="shared" si="3"/>
        <v/>
      </c>
      <c r="M826" s="21" t="str">
        <f t="array" ref="M826">IF(H826="","",SUMif(year(N$2:BO$2),M$2,N826:BO826))</f>
        <v/>
      </c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</row>
    <row r="827">
      <c r="A827" s="16" t="str">
        <f t="shared" si="14"/>
        <v/>
      </c>
      <c r="B827" s="16" t="str">
        <f t="shared" si="15"/>
        <v/>
      </c>
      <c r="C827" s="35" t="str">
        <f t="shared" si="16"/>
        <v/>
      </c>
      <c r="D827" s="35" t="str">
        <f t="shared" si="17"/>
        <v/>
      </c>
      <c r="E827" s="35" t="str">
        <f t="shared" si="18"/>
        <v/>
      </c>
      <c r="F827" s="35" t="str">
        <f t="shared" si="19"/>
        <v/>
      </c>
      <c r="G827" s="35" t="str">
        <f t="shared" si="20"/>
        <v/>
      </c>
      <c r="H827" s="25"/>
      <c r="I827" s="47" t="str">
        <f t="shared" si="21"/>
        <v/>
      </c>
      <c r="J827" s="48"/>
      <c r="K827" s="21" t="str">
        <f t="shared" si="13"/>
        <v/>
      </c>
      <c r="L827" s="21" t="str">
        <f t="shared" si="3"/>
        <v/>
      </c>
      <c r="M827" s="21" t="str">
        <f t="array" ref="M827">IF(H827="","",SUMif(year(N$2:BO$2),M$2,N827:BO827))</f>
        <v/>
      </c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</row>
    <row r="828">
      <c r="A828" s="16" t="str">
        <f t="shared" si="14"/>
        <v/>
      </c>
      <c r="B828" s="16" t="str">
        <f t="shared" si="15"/>
        <v/>
      </c>
      <c r="C828" s="35" t="str">
        <f t="shared" si="16"/>
        <v/>
      </c>
      <c r="D828" s="35" t="str">
        <f t="shared" si="17"/>
        <v/>
      </c>
      <c r="E828" s="35" t="str">
        <f t="shared" si="18"/>
        <v/>
      </c>
      <c r="F828" s="35" t="str">
        <f t="shared" si="19"/>
        <v/>
      </c>
      <c r="G828" s="35" t="str">
        <f t="shared" si="20"/>
        <v/>
      </c>
      <c r="H828" s="25"/>
      <c r="I828" s="47" t="str">
        <f t="shared" si="21"/>
        <v/>
      </c>
      <c r="J828" s="48"/>
      <c r="K828" s="21" t="str">
        <f t="shared" si="13"/>
        <v/>
      </c>
      <c r="L828" s="21" t="str">
        <f t="shared" si="3"/>
        <v/>
      </c>
      <c r="M828" s="21" t="str">
        <f t="array" ref="M828">IF(H828="","",SUMif(year(N$2:BO$2),M$2,N828:BO828))</f>
        <v/>
      </c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</row>
    <row r="829">
      <c r="A829" s="16" t="str">
        <f t="shared" si="14"/>
        <v/>
      </c>
      <c r="B829" s="16" t="str">
        <f t="shared" si="15"/>
        <v/>
      </c>
      <c r="C829" s="35" t="str">
        <f t="shared" si="16"/>
        <v/>
      </c>
      <c r="D829" s="35" t="str">
        <f t="shared" si="17"/>
        <v/>
      </c>
      <c r="E829" s="35" t="str">
        <f t="shared" si="18"/>
        <v/>
      </c>
      <c r="F829" s="35" t="str">
        <f t="shared" si="19"/>
        <v/>
      </c>
      <c r="G829" s="35" t="str">
        <f t="shared" si="20"/>
        <v/>
      </c>
      <c r="H829" s="25"/>
      <c r="I829" s="47" t="str">
        <f t="shared" si="21"/>
        <v/>
      </c>
      <c r="J829" s="48"/>
      <c r="K829" s="21" t="str">
        <f t="shared" si="13"/>
        <v/>
      </c>
      <c r="L829" s="21" t="str">
        <f t="shared" si="3"/>
        <v/>
      </c>
      <c r="M829" s="21" t="str">
        <f t="array" ref="M829">IF(H829="","",SUMif(year(N$2:BO$2),M$2,N829:BO829))</f>
        <v/>
      </c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</row>
    <row r="830">
      <c r="A830" s="16" t="str">
        <f t="shared" si="14"/>
        <v/>
      </c>
      <c r="B830" s="16" t="str">
        <f t="shared" si="15"/>
        <v/>
      </c>
      <c r="C830" s="35" t="str">
        <f t="shared" si="16"/>
        <v/>
      </c>
      <c r="D830" s="35" t="str">
        <f t="shared" si="17"/>
        <v/>
      </c>
      <c r="E830" s="35" t="str">
        <f t="shared" si="18"/>
        <v/>
      </c>
      <c r="F830" s="35" t="str">
        <f t="shared" si="19"/>
        <v/>
      </c>
      <c r="G830" s="35" t="str">
        <f t="shared" si="20"/>
        <v/>
      </c>
      <c r="H830" s="25"/>
      <c r="I830" s="47" t="str">
        <f t="shared" si="21"/>
        <v/>
      </c>
      <c r="J830" s="48"/>
      <c r="K830" s="21" t="str">
        <f t="shared" si="13"/>
        <v/>
      </c>
      <c r="L830" s="21" t="str">
        <f t="shared" si="3"/>
        <v/>
      </c>
      <c r="M830" s="21" t="str">
        <f t="array" ref="M830">IF(H830="","",SUMif(year(N$2:BO$2),M$2,N830:BO830))</f>
        <v/>
      </c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</row>
    <row r="831">
      <c r="A831" s="16" t="str">
        <f t="shared" si="14"/>
        <v/>
      </c>
      <c r="B831" s="16" t="str">
        <f t="shared" si="15"/>
        <v/>
      </c>
      <c r="C831" s="35" t="str">
        <f t="shared" si="16"/>
        <v/>
      </c>
      <c r="D831" s="35" t="str">
        <f t="shared" si="17"/>
        <v/>
      </c>
      <c r="E831" s="35" t="str">
        <f t="shared" si="18"/>
        <v/>
      </c>
      <c r="F831" s="35" t="str">
        <f t="shared" si="19"/>
        <v/>
      </c>
      <c r="G831" s="35" t="str">
        <f t="shared" si="20"/>
        <v/>
      </c>
      <c r="H831" s="25"/>
      <c r="I831" s="47" t="str">
        <f t="shared" si="21"/>
        <v/>
      </c>
      <c r="J831" s="48"/>
      <c r="K831" s="21" t="str">
        <f t="shared" si="13"/>
        <v/>
      </c>
      <c r="L831" s="21" t="str">
        <f t="shared" si="3"/>
        <v/>
      </c>
      <c r="M831" s="21" t="str">
        <f t="array" ref="M831">IF(H831="","",SUMif(year(N$2:BO$2),M$2,N831:BO831))</f>
        <v/>
      </c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</row>
    <row r="832">
      <c r="A832" s="16" t="str">
        <f t="shared" si="14"/>
        <v/>
      </c>
      <c r="B832" s="16" t="str">
        <f t="shared" si="15"/>
        <v/>
      </c>
      <c r="C832" s="35" t="str">
        <f t="shared" si="16"/>
        <v/>
      </c>
      <c r="D832" s="35" t="str">
        <f t="shared" si="17"/>
        <v/>
      </c>
      <c r="E832" s="35" t="str">
        <f t="shared" si="18"/>
        <v/>
      </c>
      <c r="F832" s="35" t="str">
        <f t="shared" si="19"/>
        <v/>
      </c>
      <c r="G832" s="35" t="str">
        <f t="shared" si="20"/>
        <v/>
      </c>
      <c r="H832" s="25"/>
      <c r="I832" s="47" t="str">
        <f t="shared" si="21"/>
        <v/>
      </c>
      <c r="J832" s="48"/>
      <c r="K832" s="21" t="str">
        <f t="shared" si="13"/>
        <v/>
      </c>
      <c r="L832" s="21" t="str">
        <f t="shared" si="3"/>
        <v/>
      </c>
      <c r="M832" s="21" t="str">
        <f t="array" ref="M832">IF(H832="","",SUMif(year(N$2:BO$2),M$2,N832:BO832))</f>
        <v/>
      </c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</row>
    <row r="833">
      <c r="A833" s="16" t="str">
        <f t="shared" si="14"/>
        <v/>
      </c>
      <c r="B833" s="16" t="str">
        <f t="shared" si="15"/>
        <v/>
      </c>
      <c r="C833" s="35" t="str">
        <f t="shared" si="16"/>
        <v/>
      </c>
      <c r="D833" s="35" t="str">
        <f t="shared" si="17"/>
        <v/>
      </c>
      <c r="E833" s="35" t="str">
        <f t="shared" si="18"/>
        <v/>
      </c>
      <c r="F833" s="35" t="str">
        <f t="shared" si="19"/>
        <v/>
      </c>
      <c r="G833" s="35" t="str">
        <f t="shared" si="20"/>
        <v/>
      </c>
      <c r="H833" s="25"/>
      <c r="I833" s="47" t="str">
        <f t="shared" si="21"/>
        <v/>
      </c>
      <c r="J833" s="48"/>
      <c r="K833" s="21" t="str">
        <f t="shared" si="13"/>
        <v/>
      </c>
      <c r="L833" s="21" t="str">
        <f t="shared" si="3"/>
        <v/>
      </c>
      <c r="M833" s="21" t="str">
        <f t="array" ref="M833">IF(H833="","",SUMif(year(N$2:BO$2),M$2,N833:BO833))</f>
        <v/>
      </c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</row>
    <row r="834">
      <c r="A834" s="16" t="str">
        <f t="shared" si="14"/>
        <v/>
      </c>
      <c r="B834" s="16" t="str">
        <f t="shared" si="15"/>
        <v/>
      </c>
      <c r="C834" s="35" t="str">
        <f t="shared" si="16"/>
        <v/>
      </c>
      <c r="D834" s="35" t="str">
        <f t="shared" si="17"/>
        <v/>
      </c>
      <c r="E834" s="35" t="str">
        <f t="shared" si="18"/>
        <v/>
      </c>
      <c r="F834" s="35" t="str">
        <f t="shared" si="19"/>
        <v/>
      </c>
      <c r="G834" s="35" t="str">
        <f t="shared" si="20"/>
        <v/>
      </c>
      <c r="H834" s="25"/>
      <c r="I834" s="47" t="str">
        <f t="shared" si="21"/>
        <v/>
      </c>
      <c r="J834" s="48"/>
      <c r="K834" s="21" t="str">
        <f t="shared" si="13"/>
        <v/>
      </c>
      <c r="L834" s="21" t="str">
        <f t="shared" si="3"/>
        <v/>
      </c>
      <c r="M834" s="21" t="str">
        <f t="array" ref="M834">IF(H834="","",SUMif(year(N$2:BO$2),M$2,N834:BO834))</f>
        <v/>
      </c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</row>
    <row r="835">
      <c r="A835" s="16" t="str">
        <f t="shared" si="14"/>
        <v/>
      </c>
      <c r="B835" s="16" t="str">
        <f t="shared" si="15"/>
        <v/>
      </c>
      <c r="C835" s="35" t="str">
        <f t="shared" si="16"/>
        <v/>
      </c>
      <c r="D835" s="35" t="str">
        <f t="shared" si="17"/>
        <v/>
      </c>
      <c r="E835" s="35" t="str">
        <f t="shared" si="18"/>
        <v/>
      </c>
      <c r="F835" s="35" t="str">
        <f t="shared" si="19"/>
        <v/>
      </c>
      <c r="G835" s="35" t="str">
        <f t="shared" si="20"/>
        <v/>
      </c>
      <c r="H835" s="25"/>
      <c r="I835" s="47" t="str">
        <f t="shared" si="21"/>
        <v/>
      </c>
      <c r="J835" s="48"/>
      <c r="K835" s="21" t="str">
        <f t="shared" si="13"/>
        <v/>
      </c>
      <c r="L835" s="21" t="str">
        <f t="shared" si="3"/>
        <v/>
      </c>
      <c r="M835" s="21" t="str">
        <f t="array" ref="M835">IF(H835="","",SUMif(year(N$2:BO$2),M$2,N835:BO835))</f>
        <v/>
      </c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</row>
    <row r="836">
      <c r="A836" s="16" t="str">
        <f t="shared" si="14"/>
        <v/>
      </c>
      <c r="B836" s="16" t="str">
        <f t="shared" si="15"/>
        <v/>
      </c>
      <c r="C836" s="35" t="str">
        <f t="shared" si="16"/>
        <v/>
      </c>
      <c r="D836" s="35" t="str">
        <f t="shared" si="17"/>
        <v/>
      </c>
      <c r="E836" s="35" t="str">
        <f t="shared" si="18"/>
        <v/>
      </c>
      <c r="F836" s="35" t="str">
        <f t="shared" si="19"/>
        <v/>
      </c>
      <c r="G836" s="35" t="str">
        <f t="shared" si="20"/>
        <v/>
      </c>
      <c r="H836" s="25"/>
      <c r="I836" s="47" t="str">
        <f t="shared" si="21"/>
        <v/>
      </c>
      <c r="J836" s="48"/>
      <c r="K836" s="21" t="str">
        <f t="shared" si="13"/>
        <v/>
      </c>
      <c r="L836" s="21" t="str">
        <f t="shared" si="3"/>
        <v/>
      </c>
      <c r="M836" s="21" t="str">
        <f t="array" ref="M836">IF(H836="","",SUMif(year(N$2:BO$2),M$2,N836:BO836))</f>
        <v/>
      </c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</row>
    <row r="837">
      <c r="A837" s="16" t="str">
        <f t="shared" si="14"/>
        <v/>
      </c>
      <c r="B837" s="16" t="str">
        <f t="shared" si="15"/>
        <v/>
      </c>
      <c r="C837" s="35" t="str">
        <f t="shared" si="16"/>
        <v/>
      </c>
      <c r="D837" s="35" t="str">
        <f t="shared" si="17"/>
        <v/>
      </c>
      <c r="E837" s="35" t="str">
        <f t="shared" si="18"/>
        <v/>
      </c>
      <c r="F837" s="35" t="str">
        <f t="shared" si="19"/>
        <v/>
      </c>
      <c r="G837" s="35" t="str">
        <f t="shared" si="20"/>
        <v/>
      </c>
      <c r="H837" s="25"/>
      <c r="I837" s="47" t="str">
        <f t="shared" si="21"/>
        <v/>
      </c>
      <c r="J837" s="48"/>
      <c r="K837" s="21" t="str">
        <f t="shared" si="13"/>
        <v/>
      </c>
      <c r="L837" s="21" t="str">
        <f t="shared" si="3"/>
        <v/>
      </c>
      <c r="M837" s="21" t="str">
        <f t="array" ref="M837">IF(H837="","",SUMif(year(N$2:BO$2),M$2,N837:BO837))</f>
        <v/>
      </c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</row>
    <row r="838">
      <c r="A838" s="16" t="str">
        <f t="shared" si="14"/>
        <v/>
      </c>
      <c r="B838" s="16" t="str">
        <f t="shared" si="15"/>
        <v/>
      </c>
      <c r="C838" s="35" t="str">
        <f t="shared" si="16"/>
        <v/>
      </c>
      <c r="D838" s="35" t="str">
        <f t="shared" si="17"/>
        <v/>
      </c>
      <c r="E838" s="35" t="str">
        <f t="shared" si="18"/>
        <v/>
      </c>
      <c r="F838" s="35" t="str">
        <f t="shared" si="19"/>
        <v/>
      </c>
      <c r="G838" s="35" t="str">
        <f t="shared" si="20"/>
        <v/>
      </c>
      <c r="H838" s="25"/>
      <c r="I838" s="47" t="str">
        <f t="shared" si="21"/>
        <v/>
      </c>
      <c r="J838" s="48"/>
      <c r="K838" s="21" t="str">
        <f t="shared" si="13"/>
        <v/>
      </c>
      <c r="L838" s="21" t="str">
        <f t="shared" si="3"/>
        <v/>
      </c>
      <c r="M838" s="21" t="str">
        <f t="array" ref="M838">IF(H838="","",SUMif(year(N$2:BO$2),M$2,N838:BO838))</f>
        <v/>
      </c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</row>
    <row r="839">
      <c r="A839" s="16" t="str">
        <f t="shared" si="14"/>
        <v/>
      </c>
      <c r="B839" s="16" t="str">
        <f t="shared" si="15"/>
        <v/>
      </c>
      <c r="C839" s="35" t="str">
        <f t="shared" si="16"/>
        <v/>
      </c>
      <c r="D839" s="35" t="str">
        <f t="shared" si="17"/>
        <v/>
      </c>
      <c r="E839" s="35" t="str">
        <f t="shared" si="18"/>
        <v/>
      </c>
      <c r="F839" s="35" t="str">
        <f t="shared" si="19"/>
        <v/>
      </c>
      <c r="G839" s="35" t="str">
        <f t="shared" si="20"/>
        <v/>
      </c>
      <c r="H839" s="25"/>
      <c r="I839" s="47" t="str">
        <f t="shared" si="21"/>
        <v/>
      </c>
      <c r="J839" s="48"/>
      <c r="K839" s="21" t="str">
        <f t="shared" si="13"/>
        <v/>
      </c>
      <c r="L839" s="21" t="str">
        <f t="shared" si="3"/>
        <v/>
      </c>
      <c r="M839" s="21" t="str">
        <f t="array" ref="M839">IF(H839="","",SUMif(year(N$2:BO$2),M$2,N839:BO839))</f>
        <v/>
      </c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</row>
    <row r="840">
      <c r="A840" s="16" t="str">
        <f t="shared" si="14"/>
        <v/>
      </c>
      <c r="B840" s="16" t="str">
        <f t="shared" si="15"/>
        <v/>
      </c>
      <c r="C840" s="35" t="str">
        <f t="shared" si="16"/>
        <v/>
      </c>
      <c r="D840" s="35" t="str">
        <f t="shared" si="17"/>
        <v/>
      </c>
      <c r="E840" s="35" t="str">
        <f t="shared" si="18"/>
        <v/>
      </c>
      <c r="F840" s="35" t="str">
        <f t="shared" si="19"/>
        <v/>
      </c>
      <c r="G840" s="35" t="str">
        <f t="shared" si="20"/>
        <v/>
      </c>
      <c r="H840" s="25"/>
      <c r="I840" s="47" t="str">
        <f t="shared" si="21"/>
        <v/>
      </c>
      <c r="J840" s="48"/>
      <c r="K840" s="21" t="str">
        <f t="shared" si="13"/>
        <v/>
      </c>
      <c r="L840" s="21" t="str">
        <f t="shared" si="3"/>
        <v/>
      </c>
      <c r="M840" s="21" t="str">
        <f t="array" ref="M840">IF(H840="","",SUMif(year(N$2:BO$2),M$2,N840:BO840))</f>
        <v/>
      </c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</row>
    <row r="841">
      <c r="A841" s="16" t="str">
        <f t="shared" si="14"/>
        <v/>
      </c>
      <c r="B841" s="16" t="str">
        <f t="shared" si="15"/>
        <v/>
      </c>
      <c r="C841" s="35" t="str">
        <f t="shared" si="16"/>
        <v/>
      </c>
      <c r="D841" s="35" t="str">
        <f t="shared" si="17"/>
        <v/>
      </c>
      <c r="E841" s="35" t="str">
        <f t="shared" si="18"/>
        <v/>
      </c>
      <c r="F841" s="35" t="str">
        <f t="shared" si="19"/>
        <v/>
      </c>
      <c r="G841" s="35" t="str">
        <f t="shared" si="20"/>
        <v/>
      </c>
      <c r="H841" s="25"/>
      <c r="I841" s="47" t="str">
        <f t="shared" si="21"/>
        <v/>
      </c>
      <c r="J841" s="48"/>
      <c r="K841" s="21" t="str">
        <f t="shared" si="13"/>
        <v/>
      </c>
      <c r="L841" s="21" t="str">
        <f t="shared" si="3"/>
        <v/>
      </c>
      <c r="M841" s="21" t="str">
        <f t="array" ref="M841">IF(H841="","",SUMif(year(N$2:BO$2),M$2,N841:BO841))</f>
        <v/>
      </c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</row>
    <row r="842">
      <c r="A842" s="16" t="str">
        <f t="shared" si="14"/>
        <v/>
      </c>
      <c r="B842" s="16" t="str">
        <f t="shared" si="15"/>
        <v/>
      </c>
      <c r="C842" s="35" t="str">
        <f t="shared" si="16"/>
        <v/>
      </c>
      <c r="D842" s="35" t="str">
        <f t="shared" si="17"/>
        <v/>
      </c>
      <c r="E842" s="35" t="str">
        <f t="shared" si="18"/>
        <v/>
      </c>
      <c r="F842" s="35" t="str">
        <f t="shared" si="19"/>
        <v/>
      </c>
      <c r="G842" s="35" t="str">
        <f t="shared" si="20"/>
        <v/>
      </c>
      <c r="H842" s="25"/>
      <c r="I842" s="47" t="str">
        <f t="shared" si="21"/>
        <v/>
      </c>
      <c r="J842" s="48"/>
      <c r="K842" s="21" t="str">
        <f t="shared" si="13"/>
        <v/>
      </c>
      <c r="L842" s="21" t="str">
        <f t="shared" si="3"/>
        <v/>
      </c>
      <c r="M842" s="21" t="str">
        <f t="array" ref="M842">IF(H842="","",SUMif(year(N$2:BO$2),M$2,N842:BO842))</f>
        <v/>
      </c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</row>
    <row r="843">
      <c r="A843" s="16" t="str">
        <f t="shared" si="14"/>
        <v/>
      </c>
      <c r="B843" s="16" t="str">
        <f t="shared" si="15"/>
        <v/>
      </c>
      <c r="C843" s="35" t="str">
        <f t="shared" si="16"/>
        <v/>
      </c>
      <c r="D843" s="35" t="str">
        <f t="shared" si="17"/>
        <v/>
      </c>
      <c r="E843" s="35" t="str">
        <f t="shared" si="18"/>
        <v/>
      </c>
      <c r="F843" s="35" t="str">
        <f t="shared" si="19"/>
        <v/>
      </c>
      <c r="G843" s="35" t="str">
        <f t="shared" si="20"/>
        <v/>
      </c>
      <c r="H843" s="25"/>
      <c r="I843" s="47" t="str">
        <f t="shared" si="21"/>
        <v/>
      </c>
      <c r="J843" s="48"/>
      <c r="K843" s="21" t="str">
        <f t="shared" si="13"/>
        <v/>
      </c>
      <c r="L843" s="21" t="str">
        <f t="shared" si="3"/>
        <v/>
      </c>
      <c r="M843" s="21" t="str">
        <f t="array" ref="M843">IF(H843="","",SUMif(year(N$2:BO$2),M$2,N843:BO843))</f>
        <v/>
      </c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</row>
    <row r="844">
      <c r="A844" s="16" t="str">
        <f t="shared" si="14"/>
        <v/>
      </c>
      <c r="B844" s="16" t="str">
        <f t="shared" si="15"/>
        <v/>
      </c>
      <c r="C844" s="35" t="str">
        <f t="shared" si="16"/>
        <v/>
      </c>
      <c r="D844" s="35" t="str">
        <f t="shared" si="17"/>
        <v/>
      </c>
      <c r="E844" s="35" t="str">
        <f t="shared" si="18"/>
        <v/>
      </c>
      <c r="F844" s="35" t="str">
        <f t="shared" si="19"/>
        <v/>
      </c>
      <c r="G844" s="35" t="str">
        <f t="shared" si="20"/>
        <v/>
      </c>
      <c r="H844" s="25"/>
      <c r="I844" s="47" t="str">
        <f t="shared" si="21"/>
        <v/>
      </c>
      <c r="J844" s="48"/>
      <c r="K844" s="21" t="str">
        <f t="shared" si="13"/>
        <v/>
      </c>
      <c r="L844" s="21" t="str">
        <f t="shared" si="3"/>
        <v/>
      </c>
      <c r="M844" s="21" t="str">
        <f t="array" ref="M844">IF(H844="","",SUMif(year(N$2:BO$2),M$2,N844:BO844))</f>
        <v/>
      </c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</row>
    <row r="845">
      <c r="A845" s="16" t="str">
        <f t="shared" si="14"/>
        <v/>
      </c>
      <c r="B845" s="16" t="str">
        <f t="shared" si="15"/>
        <v/>
      </c>
      <c r="C845" s="35" t="str">
        <f t="shared" si="16"/>
        <v/>
      </c>
      <c r="D845" s="35" t="str">
        <f t="shared" si="17"/>
        <v/>
      </c>
      <c r="E845" s="35" t="str">
        <f t="shared" si="18"/>
        <v/>
      </c>
      <c r="F845" s="35" t="str">
        <f t="shared" si="19"/>
        <v/>
      </c>
      <c r="G845" s="35" t="str">
        <f t="shared" si="20"/>
        <v/>
      </c>
      <c r="H845" s="25"/>
      <c r="I845" s="47" t="str">
        <f t="shared" si="21"/>
        <v/>
      </c>
      <c r="J845" s="48"/>
      <c r="K845" s="21" t="str">
        <f t="shared" si="13"/>
        <v/>
      </c>
      <c r="L845" s="21" t="str">
        <f t="shared" si="3"/>
        <v/>
      </c>
      <c r="M845" s="21" t="str">
        <f t="array" ref="M845">IF(H845="","",SUMif(year(N$2:BO$2),M$2,N845:BO845))</f>
        <v/>
      </c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</row>
    <row r="846">
      <c r="A846" s="16" t="str">
        <f t="shared" si="14"/>
        <v/>
      </c>
      <c r="B846" s="16" t="str">
        <f t="shared" si="15"/>
        <v/>
      </c>
      <c r="C846" s="35" t="str">
        <f t="shared" si="16"/>
        <v/>
      </c>
      <c r="D846" s="35" t="str">
        <f t="shared" si="17"/>
        <v/>
      </c>
      <c r="E846" s="35" t="str">
        <f t="shared" si="18"/>
        <v/>
      </c>
      <c r="F846" s="35" t="str">
        <f t="shared" si="19"/>
        <v/>
      </c>
      <c r="G846" s="35" t="str">
        <f t="shared" si="20"/>
        <v/>
      </c>
      <c r="H846" s="25"/>
      <c r="I846" s="47" t="str">
        <f t="shared" si="21"/>
        <v/>
      </c>
      <c r="J846" s="48"/>
      <c r="K846" s="21" t="str">
        <f t="shared" si="13"/>
        <v/>
      </c>
      <c r="L846" s="21" t="str">
        <f t="shared" si="3"/>
        <v/>
      </c>
      <c r="M846" s="21" t="str">
        <f t="array" ref="M846">IF(H846="","",SUMif(year(N$2:BO$2),M$2,N846:BO846))</f>
        <v/>
      </c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</row>
    <row r="847">
      <c r="A847" s="16" t="str">
        <f t="shared" si="14"/>
        <v/>
      </c>
      <c r="B847" s="16" t="str">
        <f t="shared" si="15"/>
        <v/>
      </c>
      <c r="C847" s="35" t="str">
        <f t="shared" si="16"/>
        <v/>
      </c>
      <c r="D847" s="35" t="str">
        <f t="shared" si="17"/>
        <v/>
      </c>
      <c r="E847" s="35" t="str">
        <f t="shared" si="18"/>
        <v/>
      </c>
      <c r="F847" s="35" t="str">
        <f t="shared" si="19"/>
        <v/>
      </c>
      <c r="G847" s="35" t="str">
        <f t="shared" si="20"/>
        <v/>
      </c>
      <c r="H847" s="25"/>
      <c r="I847" s="47" t="str">
        <f t="shared" si="21"/>
        <v/>
      </c>
      <c r="J847" s="48"/>
      <c r="K847" s="21" t="str">
        <f t="shared" si="13"/>
        <v/>
      </c>
      <c r="L847" s="21" t="str">
        <f t="shared" si="3"/>
        <v/>
      </c>
      <c r="M847" s="21" t="str">
        <f t="array" ref="M847">IF(H847="","",SUMif(year(N$2:BO$2),M$2,N847:BO847))</f>
        <v/>
      </c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</row>
    <row r="848">
      <c r="A848" s="16" t="str">
        <f t="shared" si="14"/>
        <v/>
      </c>
      <c r="B848" s="16" t="str">
        <f t="shared" si="15"/>
        <v/>
      </c>
      <c r="C848" s="35" t="str">
        <f t="shared" si="16"/>
        <v/>
      </c>
      <c r="D848" s="35" t="str">
        <f t="shared" si="17"/>
        <v/>
      </c>
      <c r="E848" s="35" t="str">
        <f t="shared" si="18"/>
        <v/>
      </c>
      <c r="F848" s="35" t="str">
        <f t="shared" si="19"/>
        <v/>
      </c>
      <c r="G848" s="35" t="str">
        <f t="shared" si="20"/>
        <v/>
      </c>
      <c r="H848" s="25"/>
      <c r="I848" s="47" t="str">
        <f t="shared" si="21"/>
        <v/>
      </c>
      <c r="J848" s="48"/>
      <c r="K848" s="21" t="str">
        <f t="shared" si="13"/>
        <v/>
      </c>
      <c r="L848" s="21" t="str">
        <f t="shared" si="3"/>
        <v/>
      </c>
      <c r="M848" s="21" t="str">
        <f t="array" ref="M848">IF(H848="","",SUMif(year(N$2:BO$2),M$2,N848:BO848))</f>
        <v/>
      </c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</row>
    <row r="849">
      <c r="A849" s="16" t="str">
        <f t="shared" si="14"/>
        <v/>
      </c>
      <c r="B849" s="16" t="str">
        <f t="shared" si="15"/>
        <v/>
      </c>
      <c r="C849" s="35" t="str">
        <f t="shared" si="16"/>
        <v/>
      </c>
      <c r="D849" s="35" t="str">
        <f t="shared" si="17"/>
        <v/>
      </c>
      <c r="E849" s="35" t="str">
        <f t="shared" si="18"/>
        <v/>
      </c>
      <c r="F849" s="35" t="str">
        <f t="shared" si="19"/>
        <v/>
      </c>
      <c r="G849" s="35" t="str">
        <f t="shared" si="20"/>
        <v/>
      </c>
      <c r="H849" s="25"/>
      <c r="I849" s="47" t="str">
        <f t="shared" si="21"/>
        <v/>
      </c>
      <c r="J849" s="48"/>
      <c r="K849" s="21" t="str">
        <f t="shared" si="13"/>
        <v/>
      </c>
      <c r="L849" s="21" t="str">
        <f t="shared" si="3"/>
        <v/>
      </c>
      <c r="M849" s="21" t="str">
        <f t="array" ref="M849">IF(H849="","",SUMif(year(N$2:BO$2),M$2,N849:BO849))</f>
        <v/>
      </c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</row>
    <row r="850">
      <c r="A850" s="16" t="str">
        <f t="shared" si="14"/>
        <v/>
      </c>
      <c r="B850" s="16" t="str">
        <f t="shared" si="15"/>
        <v/>
      </c>
      <c r="C850" s="35" t="str">
        <f t="shared" si="16"/>
        <v/>
      </c>
      <c r="D850" s="35" t="str">
        <f t="shared" si="17"/>
        <v/>
      </c>
      <c r="E850" s="35" t="str">
        <f t="shared" si="18"/>
        <v/>
      </c>
      <c r="F850" s="35" t="str">
        <f t="shared" si="19"/>
        <v/>
      </c>
      <c r="G850" s="35" t="str">
        <f t="shared" si="20"/>
        <v/>
      </c>
      <c r="H850" s="25"/>
      <c r="I850" s="47" t="str">
        <f t="shared" si="21"/>
        <v/>
      </c>
      <c r="J850" s="48"/>
      <c r="K850" s="21" t="str">
        <f t="shared" si="13"/>
        <v/>
      </c>
      <c r="L850" s="21" t="str">
        <f t="shared" si="3"/>
        <v/>
      </c>
      <c r="M850" s="21" t="str">
        <f t="array" ref="M850">IF(H850="","",SUMif(year(N$2:BO$2),M$2,N850:BO850))</f>
        <v/>
      </c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</row>
    <row r="851">
      <c r="A851" s="16" t="str">
        <f t="shared" si="14"/>
        <v/>
      </c>
      <c r="B851" s="16" t="str">
        <f t="shared" si="15"/>
        <v/>
      </c>
      <c r="C851" s="35" t="str">
        <f t="shared" si="16"/>
        <v/>
      </c>
      <c r="D851" s="35" t="str">
        <f t="shared" si="17"/>
        <v/>
      </c>
      <c r="E851" s="35" t="str">
        <f t="shared" si="18"/>
        <v/>
      </c>
      <c r="F851" s="35" t="str">
        <f t="shared" si="19"/>
        <v/>
      </c>
      <c r="G851" s="35" t="str">
        <f t="shared" si="20"/>
        <v/>
      </c>
      <c r="H851" s="25"/>
      <c r="I851" s="47" t="str">
        <f t="shared" si="21"/>
        <v/>
      </c>
      <c r="J851" s="48"/>
      <c r="K851" s="21" t="str">
        <f t="shared" si="13"/>
        <v/>
      </c>
      <c r="L851" s="21" t="str">
        <f t="shared" si="3"/>
        <v/>
      </c>
      <c r="M851" s="21" t="str">
        <f t="array" ref="M851">IF(H851="","",SUMif(year(N$2:BO$2),M$2,N851:BO851))</f>
        <v/>
      </c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</row>
    <row r="852">
      <c r="A852" s="16" t="str">
        <f t="shared" si="14"/>
        <v/>
      </c>
      <c r="B852" s="16" t="str">
        <f t="shared" si="15"/>
        <v/>
      </c>
      <c r="C852" s="35" t="str">
        <f t="shared" si="16"/>
        <v/>
      </c>
      <c r="D852" s="35" t="str">
        <f t="shared" si="17"/>
        <v/>
      </c>
      <c r="E852" s="35" t="str">
        <f t="shared" si="18"/>
        <v/>
      </c>
      <c r="F852" s="35" t="str">
        <f t="shared" si="19"/>
        <v/>
      </c>
      <c r="G852" s="35" t="str">
        <f t="shared" si="20"/>
        <v/>
      </c>
      <c r="H852" s="25"/>
      <c r="I852" s="47" t="str">
        <f t="shared" si="21"/>
        <v/>
      </c>
      <c r="J852" s="48"/>
      <c r="K852" s="21" t="str">
        <f t="shared" si="13"/>
        <v/>
      </c>
      <c r="L852" s="21" t="str">
        <f t="shared" si="3"/>
        <v/>
      </c>
      <c r="M852" s="21" t="str">
        <f t="array" ref="M852">IF(H852="","",SUMif(year(N$2:BO$2),M$2,N852:BO852))</f>
        <v/>
      </c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</row>
    <row r="853">
      <c r="A853" s="16" t="str">
        <f t="shared" si="14"/>
        <v/>
      </c>
      <c r="B853" s="16" t="str">
        <f t="shared" si="15"/>
        <v/>
      </c>
      <c r="C853" s="35" t="str">
        <f t="shared" si="16"/>
        <v/>
      </c>
      <c r="D853" s="35" t="str">
        <f t="shared" si="17"/>
        <v/>
      </c>
      <c r="E853" s="35" t="str">
        <f t="shared" si="18"/>
        <v/>
      </c>
      <c r="F853" s="35" t="str">
        <f t="shared" si="19"/>
        <v/>
      </c>
      <c r="G853" s="35" t="str">
        <f t="shared" si="20"/>
        <v/>
      </c>
      <c r="H853" s="25"/>
      <c r="I853" s="47" t="str">
        <f t="shared" si="21"/>
        <v/>
      </c>
      <c r="J853" s="48"/>
      <c r="K853" s="21" t="str">
        <f t="shared" si="13"/>
        <v/>
      </c>
      <c r="L853" s="21" t="str">
        <f t="shared" si="3"/>
        <v/>
      </c>
      <c r="M853" s="21" t="str">
        <f t="array" ref="M853">IF(H853="","",SUMif(year(N$2:BO$2),M$2,N853:BO853))</f>
        <v/>
      </c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</row>
    <row r="854">
      <c r="A854" s="16" t="str">
        <f t="shared" si="14"/>
        <v/>
      </c>
      <c r="B854" s="16" t="str">
        <f t="shared" si="15"/>
        <v/>
      </c>
      <c r="C854" s="35" t="str">
        <f t="shared" si="16"/>
        <v/>
      </c>
      <c r="D854" s="35" t="str">
        <f t="shared" si="17"/>
        <v/>
      </c>
      <c r="E854" s="35" t="str">
        <f t="shared" si="18"/>
        <v/>
      </c>
      <c r="F854" s="35" t="str">
        <f t="shared" si="19"/>
        <v/>
      </c>
      <c r="G854" s="35" t="str">
        <f t="shared" si="20"/>
        <v/>
      </c>
      <c r="H854" s="25"/>
      <c r="I854" s="47" t="str">
        <f t="shared" si="21"/>
        <v/>
      </c>
      <c r="J854" s="48"/>
      <c r="K854" s="21" t="str">
        <f t="shared" si="13"/>
        <v/>
      </c>
      <c r="L854" s="21" t="str">
        <f t="shared" si="3"/>
        <v/>
      </c>
      <c r="M854" s="21" t="str">
        <f t="array" ref="M854">IF(H854="","",SUMif(year(N$2:BO$2),M$2,N854:BO854))</f>
        <v/>
      </c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</row>
    <row r="855">
      <c r="A855" s="16" t="str">
        <f t="shared" si="14"/>
        <v/>
      </c>
      <c r="B855" s="16" t="str">
        <f t="shared" si="15"/>
        <v/>
      </c>
      <c r="C855" s="35" t="str">
        <f t="shared" si="16"/>
        <v/>
      </c>
      <c r="D855" s="35" t="str">
        <f t="shared" si="17"/>
        <v/>
      </c>
      <c r="E855" s="35" t="str">
        <f t="shared" si="18"/>
        <v/>
      </c>
      <c r="F855" s="35" t="str">
        <f t="shared" si="19"/>
        <v/>
      </c>
      <c r="G855" s="35" t="str">
        <f t="shared" si="20"/>
        <v/>
      </c>
      <c r="H855" s="25"/>
      <c r="I855" s="47" t="str">
        <f t="shared" si="21"/>
        <v/>
      </c>
      <c r="J855" s="48"/>
      <c r="K855" s="21" t="str">
        <f t="shared" si="13"/>
        <v/>
      </c>
      <c r="L855" s="21" t="str">
        <f t="shared" si="3"/>
        <v/>
      </c>
      <c r="M855" s="21" t="str">
        <f t="array" ref="M855">IF(H855="","",SUMif(year(N$2:BO$2),M$2,N855:BO855))</f>
        <v/>
      </c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</row>
    <row r="856">
      <c r="A856" s="16" t="str">
        <f t="shared" si="14"/>
        <v/>
      </c>
      <c r="B856" s="16" t="str">
        <f t="shared" si="15"/>
        <v/>
      </c>
      <c r="C856" s="35" t="str">
        <f t="shared" si="16"/>
        <v/>
      </c>
      <c r="D856" s="35" t="str">
        <f t="shared" si="17"/>
        <v/>
      </c>
      <c r="E856" s="35" t="str">
        <f t="shared" si="18"/>
        <v/>
      </c>
      <c r="F856" s="35" t="str">
        <f t="shared" si="19"/>
        <v/>
      </c>
      <c r="G856" s="35" t="str">
        <f t="shared" si="20"/>
        <v/>
      </c>
      <c r="H856" s="25"/>
      <c r="I856" s="47" t="str">
        <f t="shared" si="21"/>
        <v/>
      </c>
      <c r="J856" s="48"/>
      <c r="K856" s="21" t="str">
        <f t="shared" si="13"/>
        <v/>
      </c>
      <c r="L856" s="21" t="str">
        <f t="shared" si="3"/>
        <v/>
      </c>
      <c r="M856" s="21" t="str">
        <f t="array" ref="M856">IF(H856="","",SUMif(year(N$2:BO$2),M$2,N856:BO856))</f>
        <v/>
      </c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</row>
    <row r="857">
      <c r="A857" s="16" t="str">
        <f t="shared" si="14"/>
        <v/>
      </c>
      <c r="B857" s="16" t="str">
        <f t="shared" si="15"/>
        <v/>
      </c>
      <c r="C857" s="35" t="str">
        <f t="shared" si="16"/>
        <v/>
      </c>
      <c r="D857" s="35" t="str">
        <f t="shared" si="17"/>
        <v/>
      </c>
      <c r="E857" s="35" t="str">
        <f t="shared" si="18"/>
        <v/>
      </c>
      <c r="F857" s="35" t="str">
        <f t="shared" si="19"/>
        <v/>
      </c>
      <c r="G857" s="35" t="str">
        <f t="shared" si="20"/>
        <v/>
      </c>
      <c r="H857" s="25"/>
      <c r="I857" s="47" t="str">
        <f t="shared" si="21"/>
        <v/>
      </c>
      <c r="J857" s="48"/>
      <c r="K857" s="21" t="str">
        <f t="shared" si="13"/>
        <v/>
      </c>
      <c r="L857" s="21" t="str">
        <f t="shared" si="3"/>
        <v/>
      </c>
      <c r="M857" s="21" t="str">
        <f t="array" ref="M857">IF(H857="","",SUMif(year(N$2:BO$2),M$2,N857:BO857))</f>
        <v/>
      </c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</row>
    <row r="858">
      <c r="A858" s="16" t="str">
        <f t="shared" si="14"/>
        <v/>
      </c>
      <c r="B858" s="16" t="str">
        <f t="shared" si="15"/>
        <v/>
      </c>
      <c r="C858" s="35" t="str">
        <f t="shared" si="16"/>
        <v/>
      </c>
      <c r="D858" s="35" t="str">
        <f t="shared" si="17"/>
        <v/>
      </c>
      <c r="E858" s="35" t="str">
        <f t="shared" si="18"/>
        <v/>
      </c>
      <c r="F858" s="35" t="str">
        <f t="shared" si="19"/>
        <v/>
      </c>
      <c r="G858" s="35" t="str">
        <f t="shared" si="20"/>
        <v/>
      </c>
      <c r="H858" s="25"/>
      <c r="I858" s="47" t="str">
        <f t="shared" si="21"/>
        <v/>
      </c>
      <c r="J858" s="48"/>
      <c r="K858" s="21" t="str">
        <f t="shared" si="13"/>
        <v/>
      </c>
      <c r="L858" s="21" t="str">
        <f t="shared" si="3"/>
        <v/>
      </c>
      <c r="M858" s="21" t="str">
        <f t="array" ref="M858">IF(H858="","",SUMif(year(N$2:BO$2),M$2,N858:BO858))</f>
        <v/>
      </c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</row>
    <row r="859">
      <c r="A859" s="16" t="str">
        <f t="shared" si="14"/>
        <v/>
      </c>
      <c r="B859" s="16" t="str">
        <f t="shared" si="15"/>
        <v/>
      </c>
      <c r="C859" s="35" t="str">
        <f t="shared" si="16"/>
        <v/>
      </c>
      <c r="D859" s="35" t="str">
        <f t="shared" si="17"/>
        <v/>
      </c>
      <c r="E859" s="35" t="str">
        <f t="shared" si="18"/>
        <v/>
      </c>
      <c r="F859" s="35" t="str">
        <f t="shared" si="19"/>
        <v/>
      </c>
      <c r="G859" s="35" t="str">
        <f t="shared" si="20"/>
        <v/>
      </c>
      <c r="H859" s="25"/>
      <c r="I859" s="47" t="str">
        <f t="shared" si="21"/>
        <v/>
      </c>
      <c r="J859" s="48"/>
      <c r="K859" s="21" t="str">
        <f t="shared" si="13"/>
        <v/>
      </c>
      <c r="L859" s="21" t="str">
        <f t="shared" si="3"/>
        <v/>
      </c>
      <c r="M859" s="21" t="str">
        <f t="array" ref="M859">IF(H859="","",SUMif(year(N$2:BO$2),M$2,N859:BO859))</f>
        <v/>
      </c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</row>
    <row r="860">
      <c r="A860" s="16" t="str">
        <f t="shared" si="14"/>
        <v/>
      </c>
      <c r="B860" s="16" t="str">
        <f t="shared" si="15"/>
        <v/>
      </c>
      <c r="C860" s="35" t="str">
        <f t="shared" si="16"/>
        <v/>
      </c>
      <c r="D860" s="35" t="str">
        <f t="shared" si="17"/>
        <v/>
      </c>
      <c r="E860" s="35" t="str">
        <f t="shared" si="18"/>
        <v/>
      </c>
      <c r="F860" s="35" t="str">
        <f t="shared" si="19"/>
        <v/>
      </c>
      <c r="G860" s="35" t="str">
        <f t="shared" si="20"/>
        <v/>
      </c>
      <c r="H860" s="25"/>
      <c r="I860" s="47" t="str">
        <f t="shared" si="21"/>
        <v/>
      </c>
      <c r="J860" s="48"/>
      <c r="K860" s="21" t="str">
        <f t="shared" si="13"/>
        <v/>
      </c>
      <c r="L860" s="21" t="str">
        <f t="shared" si="3"/>
        <v/>
      </c>
      <c r="M860" s="21" t="str">
        <f t="array" ref="M860">IF(H860="","",SUMif(year(N$2:BO$2),M$2,N860:BO860))</f>
        <v/>
      </c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</row>
    <row r="861">
      <c r="A861" s="16" t="str">
        <f t="shared" si="14"/>
        <v/>
      </c>
      <c r="B861" s="16" t="str">
        <f t="shared" si="15"/>
        <v/>
      </c>
      <c r="C861" s="35" t="str">
        <f t="shared" si="16"/>
        <v/>
      </c>
      <c r="D861" s="35" t="str">
        <f t="shared" si="17"/>
        <v/>
      </c>
      <c r="E861" s="35" t="str">
        <f t="shared" si="18"/>
        <v/>
      </c>
      <c r="F861" s="35" t="str">
        <f t="shared" si="19"/>
        <v/>
      </c>
      <c r="G861" s="35" t="str">
        <f t="shared" si="20"/>
        <v/>
      </c>
      <c r="H861" s="25"/>
      <c r="I861" s="47" t="str">
        <f t="shared" si="21"/>
        <v/>
      </c>
      <c r="J861" s="48"/>
      <c r="K861" s="21" t="str">
        <f t="shared" si="13"/>
        <v/>
      </c>
      <c r="L861" s="21" t="str">
        <f t="shared" si="3"/>
        <v/>
      </c>
      <c r="M861" s="21" t="str">
        <f t="array" ref="M861">IF(H861="","",SUMif(year(N$2:BO$2),M$2,N861:BO861))</f>
        <v/>
      </c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</row>
    <row r="862">
      <c r="A862" s="16" t="str">
        <f t="shared" si="14"/>
        <v/>
      </c>
      <c r="B862" s="16" t="str">
        <f t="shared" si="15"/>
        <v/>
      </c>
      <c r="C862" s="35" t="str">
        <f t="shared" si="16"/>
        <v/>
      </c>
      <c r="D862" s="35" t="str">
        <f t="shared" si="17"/>
        <v/>
      </c>
      <c r="E862" s="35" t="str">
        <f t="shared" si="18"/>
        <v/>
      </c>
      <c r="F862" s="35" t="str">
        <f t="shared" si="19"/>
        <v/>
      </c>
      <c r="G862" s="35" t="str">
        <f t="shared" si="20"/>
        <v/>
      </c>
      <c r="H862" s="25"/>
      <c r="I862" s="47" t="str">
        <f t="shared" si="21"/>
        <v/>
      </c>
      <c r="J862" s="48"/>
      <c r="K862" s="21" t="str">
        <f t="shared" si="13"/>
        <v/>
      </c>
      <c r="L862" s="21" t="str">
        <f t="shared" si="3"/>
        <v/>
      </c>
      <c r="M862" s="21" t="str">
        <f t="array" ref="M862">IF(H862="","",SUMif(year(N$2:BO$2),M$2,N862:BO862))</f>
        <v/>
      </c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</row>
    <row r="863">
      <c r="A863" s="16" t="str">
        <f t="shared" si="14"/>
        <v/>
      </c>
      <c r="B863" s="16" t="str">
        <f t="shared" si="15"/>
        <v/>
      </c>
      <c r="C863" s="35" t="str">
        <f t="shared" si="16"/>
        <v/>
      </c>
      <c r="D863" s="35" t="str">
        <f t="shared" si="17"/>
        <v/>
      </c>
      <c r="E863" s="35" t="str">
        <f t="shared" si="18"/>
        <v/>
      </c>
      <c r="F863" s="35" t="str">
        <f t="shared" si="19"/>
        <v/>
      </c>
      <c r="G863" s="35" t="str">
        <f t="shared" si="20"/>
        <v/>
      </c>
      <c r="H863" s="25"/>
      <c r="I863" s="47" t="str">
        <f t="shared" si="21"/>
        <v/>
      </c>
      <c r="J863" s="48"/>
      <c r="K863" s="21" t="str">
        <f t="shared" si="13"/>
        <v/>
      </c>
      <c r="L863" s="21" t="str">
        <f t="shared" si="3"/>
        <v/>
      </c>
      <c r="M863" s="21" t="str">
        <f t="array" ref="M863">IF(H863="","",SUMif(year(N$2:BO$2),M$2,N863:BO863))</f>
        <v/>
      </c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</row>
    <row r="864">
      <c r="A864" s="16" t="str">
        <f t="shared" si="14"/>
        <v/>
      </c>
      <c r="B864" s="16" t="str">
        <f t="shared" si="15"/>
        <v/>
      </c>
      <c r="C864" s="35" t="str">
        <f t="shared" si="16"/>
        <v/>
      </c>
      <c r="D864" s="35" t="str">
        <f t="shared" si="17"/>
        <v/>
      </c>
      <c r="E864" s="35" t="str">
        <f t="shared" si="18"/>
        <v/>
      </c>
      <c r="F864" s="35" t="str">
        <f t="shared" si="19"/>
        <v/>
      </c>
      <c r="G864" s="35" t="str">
        <f t="shared" si="20"/>
        <v/>
      </c>
      <c r="H864" s="25"/>
      <c r="I864" s="47" t="str">
        <f t="shared" si="21"/>
        <v/>
      </c>
      <c r="J864" s="48"/>
      <c r="K864" s="21" t="str">
        <f t="shared" si="13"/>
        <v/>
      </c>
      <c r="L864" s="21" t="str">
        <f t="shared" si="3"/>
        <v/>
      </c>
      <c r="M864" s="21" t="str">
        <f t="array" ref="M864">IF(H864="","",SUMif(year(N$2:BO$2),M$2,N864:BO864))</f>
        <v/>
      </c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</row>
    <row r="865">
      <c r="A865" s="16" t="str">
        <f t="shared" si="14"/>
        <v/>
      </c>
      <c r="B865" s="16" t="str">
        <f t="shared" si="15"/>
        <v/>
      </c>
      <c r="C865" s="35" t="str">
        <f t="shared" si="16"/>
        <v/>
      </c>
      <c r="D865" s="35" t="str">
        <f t="shared" si="17"/>
        <v/>
      </c>
      <c r="E865" s="35" t="str">
        <f t="shared" si="18"/>
        <v/>
      </c>
      <c r="F865" s="35" t="str">
        <f t="shared" si="19"/>
        <v/>
      </c>
      <c r="G865" s="35" t="str">
        <f t="shared" si="20"/>
        <v/>
      </c>
      <c r="H865" s="25"/>
      <c r="I865" s="47" t="str">
        <f t="shared" si="21"/>
        <v/>
      </c>
      <c r="J865" s="48"/>
      <c r="K865" s="21" t="str">
        <f t="shared" si="13"/>
        <v/>
      </c>
      <c r="L865" s="21" t="str">
        <f t="shared" si="3"/>
        <v/>
      </c>
      <c r="M865" s="21" t="str">
        <f t="array" ref="M865">IF(H865="","",SUMif(year(N$2:BO$2),M$2,N865:BO865))</f>
        <v/>
      </c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</row>
    <row r="866">
      <c r="A866" s="16" t="str">
        <f t="shared" si="14"/>
        <v/>
      </c>
      <c r="B866" s="16" t="str">
        <f t="shared" si="15"/>
        <v/>
      </c>
      <c r="C866" s="35" t="str">
        <f t="shared" si="16"/>
        <v/>
      </c>
      <c r="D866" s="35" t="str">
        <f t="shared" si="17"/>
        <v/>
      </c>
      <c r="E866" s="35" t="str">
        <f t="shared" si="18"/>
        <v/>
      </c>
      <c r="F866" s="35" t="str">
        <f t="shared" si="19"/>
        <v/>
      </c>
      <c r="G866" s="35" t="str">
        <f t="shared" si="20"/>
        <v/>
      </c>
      <c r="H866" s="25"/>
      <c r="I866" s="47" t="str">
        <f t="shared" si="21"/>
        <v/>
      </c>
      <c r="J866" s="48"/>
      <c r="K866" s="21" t="str">
        <f t="shared" si="13"/>
        <v/>
      </c>
      <c r="L866" s="21" t="str">
        <f t="shared" si="3"/>
        <v/>
      </c>
      <c r="M866" s="21" t="str">
        <f t="array" ref="M866">IF(H866="","",SUMif(year(N$2:BO$2),M$2,N866:BO866))</f>
        <v/>
      </c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</row>
    <row r="867">
      <c r="A867" s="16" t="str">
        <f t="shared" si="14"/>
        <v/>
      </c>
      <c r="B867" s="16" t="str">
        <f t="shared" si="15"/>
        <v/>
      </c>
      <c r="C867" s="35" t="str">
        <f t="shared" si="16"/>
        <v/>
      </c>
      <c r="D867" s="35" t="str">
        <f t="shared" si="17"/>
        <v/>
      </c>
      <c r="E867" s="35" t="str">
        <f t="shared" si="18"/>
        <v/>
      </c>
      <c r="F867" s="35" t="str">
        <f t="shared" si="19"/>
        <v/>
      </c>
      <c r="G867" s="35" t="str">
        <f t="shared" si="20"/>
        <v/>
      </c>
      <c r="H867" s="25"/>
      <c r="I867" s="47" t="str">
        <f t="shared" si="21"/>
        <v/>
      </c>
      <c r="J867" s="48"/>
      <c r="K867" s="21" t="str">
        <f t="shared" si="13"/>
        <v/>
      </c>
      <c r="L867" s="21" t="str">
        <f t="shared" si="3"/>
        <v/>
      </c>
      <c r="M867" s="21" t="str">
        <f t="array" ref="M867">IF(H867="","",SUMif(year(N$2:BO$2),M$2,N867:BO867))</f>
        <v/>
      </c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</row>
    <row r="868">
      <c r="A868" s="16" t="str">
        <f t="shared" si="14"/>
        <v/>
      </c>
      <c r="B868" s="16" t="str">
        <f t="shared" si="15"/>
        <v/>
      </c>
      <c r="C868" s="35" t="str">
        <f t="shared" si="16"/>
        <v/>
      </c>
      <c r="D868" s="35" t="str">
        <f t="shared" si="17"/>
        <v/>
      </c>
      <c r="E868" s="35" t="str">
        <f t="shared" si="18"/>
        <v/>
      </c>
      <c r="F868" s="35" t="str">
        <f t="shared" si="19"/>
        <v/>
      </c>
      <c r="G868" s="35" t="str">
        <f t="shared" si="20"/>
        <v/>
      </c>
      <c r="H868" s="25"/>
      <c r="I868" s="47" t="str">
        <f t="shared" si="21"/>
        <v/>
      </c>
      <c r="J868" s="48"/>
      <c r="K868" s="21" t="str">
        <f t="shared" si="13"/>
        <v/>
      </c>
      <c r="L868" s="21" t="str">
        <f t="shared" si="3"/>
        <v/>
      </c>
      <c r="M868" s="21" t="str">
        <f t="array" ref="M868">IF(H868="","",SUMif(year(N$2:BO$2),M$2,N868:BO868))</f>
        <v/>
      </c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</row>
    <row r="869">
      <c r="A869" s="16" t="str">
        <f t="shared" si="14"/>
        <v/>
      </c>
      <c r="B869" s="16" t="str">
        <f t="shared" si="15"/>
        <v/>
      </c>
      <c r="C869" s="35" t="str">
        <f t="shared" si="16"/>
        <v/>
      </c>
      <c r="D869" s="35" t="str">
        <f t="shared" si="17"/>
        <v/>
      </c>
      <c r="E869" s="35" t="str">
        <f t="shared" si="18"/>
        <v/>
      </c>
      <c r="F869" s="35" t="str">
        <f t="shared" si="19"/>
        <v/>
      </c>
      <c r="G869" s="35" t="str">
        <f t="shared" si="20"/>
        <v/>
      </c>
      <c r="H869" s="25"/>
      <c r="I869" s="47" t="str">
        <f t="shared" si="21"/>
        <v/>
      </c>
      <c r="J869" s="48"/>
      <c r="K869" s="21" t="str">
        <f t="shared" si="13"/>
        <v/>
      </c>
      <c r="L869" s="21" t="str">
        <f t="shared" si="3"/>
        <v/>
      </c>
      <c r="M869" s="21" t="str">
        <f t="array" ref="M869">IF(H869="","",SUMif(year(N$2:BO$2),M$2,N869:BO869))</f>
        <v/>
      </c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</row>
    <row r="870">
      <c r="A870" s="16" t="str">
        <f t="shared" si="14"/>
        <v/>
      </c>
      <c r="B870" s="16" t="str">
        <f t="shared" si="15"/>
        <v/>
      </c>
      <c r="C870" s="35" t="str">
        <f t="shared" si="16"/>
        <v/>
      </c>
      <c r="D870" s="35" t="str">
        <f t="shared" si="17"/>
        <v/>
      </c>
      <c r="E870" s="35" t="str">
        <f t="shared" si="18"/>
        <v/>
      </c>
      <c r="F870" s="35" t="str">
        <f t="shared" si="19"/>
        <v/>
      </c>
      <c r="G870" s="35" t="str">
        <f t="shared" si="20"/>
        <v/>
      </c>
      <c r="H870" s="25"/>
      <c r="I870" s="47" t="str">
        <f t="shared" si="21"/>
        <v/>
      </c>
      <c r="J870" s="48"/>
      <c r="K870" s="21" t="str">
        <f t="shared" si="13"/>
        <v/>
      </c>
      <c r="L870" s="21" t="str">
        <f t="shared" si="3"/>
        <v/>
      </c>
      <c r="M870" s="21" t="str">
        <f t="array" ref="M870">IF(H870="","",SUMif(year(N$2:BO$2),M$2,N870:BO870))</f>
        <v/>
      </c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</row>
    <row r="871">
      <c r="A871" s="16" t="str">
        <f t="shared" si="14"/>
        <v/>
      </c>
      <c r="B871" s="16" t="str">
        <f t="shared" si="15"/>
        <v/>
      </c>
      <c r="C871" s="35" t="str">
        <f t="shared" si="16"/>
        <v/>
      </c>
      <c r="D871" s="35" t="str">
        <f t="shared" si="17"/>
        <v/>
      </c>
      <c r="E871" s="35" t="str">
        <f t="shared" si="18"/>
        <v/>
      </c>
      <c r="F871" s="35" t="str">
        <f t="shared" si="19"/>
        <v/>
      </c>
      <c r="G871" s="35" t="str">
        <f t="shared" si="20"/>
        <v/>
      </c>
      <c r="H871" s="25"/>
      <c r="I871" s="47" t="str">
        <f t="shared" si="21"/>
        <v/>
      </c>
      <c r="J871" s="48"/>
      <c r="K871" s="21" t="str">
        <f t="shared" si="13"/>
        <v/>
      </c>
      <c r="L871" s="21" t="str">
        <f t="shared" si="3"/>
        <v/>
      </c>
      <c r="M871" s="21" t="str">
        <f t="array" ref="M871">IF(H871="","",SUMif(year(N$2:BO$2),M$2,N871:BO871))</f>
        <v/>
      </c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</row>
    <row r="872">
      <c r="A872" s="16" t="str">
        <f t="shared" si="14"/>
        <v/>
      </c>
      <c r="B872" s="16" t="str">
        <f t="shared" si="15"/>
        <v/>
      </c>
      <c r="C872" s="35" t="str">
        <f t="shared" si="16"/>
        <v/>
      </c>
      <c r="D872" s="35" t="str">
        <f t="shared" si="17"/>
        <v/>
      </c>
      <c r="E872" s="35" t="str">
        <f t="shared" si="18"/>
        <v/>
      </c>
      <c r="F872" s="35" t="str">
        <f t="shared" si="19"/>
        <v/>
      </c>
      <c r="G872" s="35" t="str">
        <f t="shared" si="20"/>
        <v/>
      </c>
      <c r="H872" s="25"/>
      <c r="I872" s="47" t="str">
        <f t="shared" si="21"/>
        <v/>
      </c>
      <c r="J872" s="48"/>
      <c r="K872" s="21" t="str">
        <f t="shared" si="13"/>
        <v/>
      </c>
      <c r="L872" s="21" t="str">
        <f t="shared" si="3"/>
        <v/>
      </c>
      <c r="M872" s="21" t="str">
        <f t="array" ref="M872">IF(H872="","",SUMif(year(N$2:BO$2),M$2,N872:BO872))</f>
        <v/>
      </c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</row>
    <row r="873">
      <c r="A873" s="16" t="str">
        <f t="shared" si="14"/>
        <v/>
      </c>
      <c r="B873" s="16" t="str">
        <f t="shared" si="15"/>
        <v/>
      </c>
      <c r="C873" s="35" t="str">
        <f t="shared" si="16"/>
        <v/>
      </c>
      <c r="D873" s="35" t="str">
        <f t="shared" si="17"/>
        <v/>
      </c>
      <c r="E873" s="35" t="str">
        <f t="shared" si="18"/>
        <v/>
      </c>
      <c r="F873" s="35" t="str">
        <f t="shared" si="19"/>
        <v/>
      </c>
      <c r="G873" s="35" t="str">
        <f t="shared" si="20"/>
        <v/>
      </c>
      <c r="H873" s="25"/>
      <c r="I873" s="47" t="str">
        <f t="shared" si="21"/>
        <v/>
      </c>
      <c r="J873" s="48"/>
      <c r="K873" s="21" t="str">
        <f t="shared" si="13"/>
        <v/>
      </c>
      <c r="L873" s="21" t="str">
        <f t="shared" si="3"/>
        <v/>
      </c>
      <c r="M873" s="21" t="str">
        <f t="array" ref="M873">IF(H873="","",SUMif(year(N$2:BO$2),M$2,N873:BO873))</f>
        <v/>
      </c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</row>
    <row r="874">
      <c r="A874" s="16" t="str">
        <f t="shared" si="14"/>
        <v/>
      </c>
      <c r="B874" s="16" t="str">
        <f t="shared" si="15"/>
        <v/>
      </c>
      <c r="C874" s="35" t="str">
        <f t="shared" si="16"/>
        <v/>
      </c>
      <c r="D874" s="35" t="str">
        <f t="shared" si="17"/>
        <v/>
      </c>
      <c r="E874" s="35" t="str">
        <f t="shared" si="18"/>
        <v/>
      </c>
      <c r="F874" s="35" t="str">
        <f t="shared" si="19"/>
        <v/>
      </c>
      <c r="G874" s="35" t="str">
        <f t="shared" si="20"/>
        <v/>
      </c>
      <c r="H874" s="25"/>
      <c r="I874" s="47" t="str">
        <f t="shared" si="21"/>
        <v/>
      </c>
      <c r="J874" s="48"/>
      <c r="K874" s="21" t="str">
        <f t="shared" si="13"/>
        <v/>
      </c>
      <c r="L874" s="21" t="str">
        <f t="shared" si="3"/>
        <v/>
      </c>
      <c r="M874" s="21" t="str">
        <f t="array" ref="M874">IF(H874="","",SUMif(year(N$2:BO$2),M$2,N874:BO874))</f>
        <v/>
      </c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</row>
    <row r="875">
      <c r="A875" s="16" t="str">
        <f t="shared" si="14"/>
        <v/>
      </c>
      <c r="B875" s="16" t="str">
        <f t="shared" si="15"/>
        <v/>
      </c>
      <c r="C875" s="35" t="str">
        <f t="shared" si="16"/>
        <v/>
      </c>
      <c r="D875" s="35" t="str">
        <f t="shared" si="17"/>
        <v/>
      </c>
      <c r="E875" s="35" t="str">
        <f t="shared" si="18"/>
        <v/>
      </c>
      <c r="F875" s="35" t="str">
        <f t="shared" si="19"/>
        <v/>
      </c>
      <c r="G875" s="35" t="str">
        <f t="shared" si="20"/>
        <v/>
      </c>
      <c r="H875" s="25"/>
      <c r="I875" s="47" t="str">
        <f t="shared" si="21"/>
        <v/>
      </c>
      <c r="J875" s="48"/>
      <c r="K875" s="21" t="str">
        <f t="shared" si="13"/>
        <v/>
      </c>
      <c r="L875" s="21" t="str">
        <f t="shared" si="3"/>
        <v/>
      </c>
      <c r="M875" s="21" t="str">
        <f t="array" ref="M875">IF(H875="","",SUMif(year(N$2:BO$2),M$2,N875:BO875))</f>
        <v/>
      </c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</row>
    <row r="876">
      <c r="A876" s="16" t="str">
        <f t="shared" si="14"/>
        <v/>
      </c>
      <c r="B876" s="16" t="str">
        <f t="shared" si="15"/>
        <v/>
      </c>
      <c r="C876" s="35" t="str">
        <f t="shared" si="16"/>
        <v/>
      </c>
      <c r="D876" s="35" t="str">
        <f t="shared" si="17"/>
        <v/>
      </c>
      <c r="E876" s="35" t="str">
        <f t="shared" si="18"/>
        <v/>
      </c>
      <c r="F876" s="35" t="str">
        <f t="shared" si="19"/>
        <v/>
      </c>
      <c r="G876" s="35" t="str">
        <f t="shared" si="20"/>
        <v/>
      </c>
      <c r="H876" s="25"/>
      <c r="I876" s="47" t="str">
        <f t="shared" si="21"/>
        <v/>
      </c>
      <c r="J876" s="48"/>
      <c r="K876" s="21" t="str">
        <f t="shared" si="13"/>
        <v/>
      </c>
      <c r="L876" s="21" t="str">
        <f t="shared" si="3"/>
        <v/>
      </c>
      <c r="M876" s="21" t="str">
        <f t="array" ref="M876">IF(H876="","",SUMif(year(N$2:BO$2),M$2,N876:BO876))</f>
        <v/>
      </c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</row>
    <row r="877">
      <c r="A877" s="16" t="str">
        <f t="shared" si="14"/>
        <v/>
      </c>
      <c r="B877" s="16" t="str">
        <f t="shared" si="15"/>
        <v/>
      </c>
      <c r="C877" s="35" t="str">
        <f t="shared" si="16"/>
        <v/>
      </c>
      <c r="D877" s="35" t="str">
        <f t="shared" si="17"/>
        <v/>
      </c>
      <c r="E877" s="35" t="str">
        <f t="shared" si="18"/>
        <v/>
      </c>
      <c r="F877" s="35" t="str">
        <f t="shared" si="19"/>
        <v/>
      </c>
      <c r="G877" s="35" t="str">
        <f t="shared" si="20"/>
        <v/>
      </c>
      <c r="H877" s="25"/>
      <c r="I877" s="47" t="str">
        <f t="shared" si="21"/>
        <v/>
      </c>
      <c r="J877" s="48"/>
      <c r="K877" s="21" t="str">
        <f t="shared" si="13"/>
        <v/>
      </c>
      <c r="L877" s="21" t="str">
        <f t="shared" si="3"/>
        <v/>
      </c>
      <c r="M877" s="21" t="str">
        <f t="array" ref="M877">IF(H877="","",SUMif(year(N$2:BO$2),M$2,N877:BO877))</f>
        <v/>
      </c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</row>
    <row r="878">
      <c r="A878" s="16" t="str">
        <f t="shared" si="14"/>
        <v/>
      </c>
      <c r="B878" s="16" t="str">
        <f t="shared" si="15"/>
        <v/>
      </c>
      <c r="C878" s="35" t="str">
        <f t="shared" si="16"/>
        <v/>
      </c>
      <c r="D878" s="35" t="str">
        <f t="shared" si="17"/>
        <v/>
      </c>
      <c r="E878" s="35" t="str">
        <f t="shared" si="18"/>
        <v/>
      </c>
      <c r="F878" s="35" t="str">
        <f t="shared" si="19"/>
        <v/>
      </c>
      <c r="G878" s="35" t="str">
        <f t="shared" si="20"/>
        <v/>
      </c>
      <c r="H878" s="25"/>
      <c r="I878" s="47" t="str">
        <f t="shared" si="21"/>
        <v/>
      </c>
      <c r="J878" s="48"/>
      <c r="K878" s="21" t="str">
        <f t="shared" si="13"/>
        <v/>
      </c>
      <c r="L878" s="21" t="str">
        <f t="shared" si="3"/>
        <v/>
      </c>
      <c r="M878" s="21" t="str">
        <f t="array" ref="M878">IF(H878="","",SUMif(year(N$2:BO$2),M$2,N878:BO878))</f>
        <v/>
      </c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</row>
    <row r="879">
      <c r="A879" s="16" t="str">
        <f t="shared" si="14"/>
        <v/>
      </c>
      <c r="B879" s="16" t="str">
        <f t="shared" si="15"/>
        <v/>
      </c>
      <c r="C879" s="35" t="str">
        <f t="shared" si="16"/>
        <v/>
      </c>
      <c r="D879" s="35" t="str">
        <f t="shared" si="17"/>
        <v/>
      </c>
      <c r="E879" s="35" t="str">
        <f t="shared" si="18"/>
        <v/>
      </c>
      <c r="F879" s="35" t="str">
        <f t="shared" si="19"/>
        <v/>
      </c>
      <c r="G879" s="35" t="str">
        <f t="shared" si="20"/>
        <v/>
      </c>
      <c r="H879" s="25"/>
      <c r="I879" s="47" t="str">
        <f t="shared" si="21"/>
        <v/>
      </c>
      <c r="J879" s="48"/>
      <c r="K879" s="21" t="str">
        <f t="shared" si="13"/>
        <v/>
      </c>
      <c r="L879" s="21" t="str">
        <f t="shared" si="3"/>
        <v/>
      </c>
      <c r="M879" s="21" t="str">
        <f t="array" ref="M879">IF(H879="","",SUMif(year(N$2:BO$2),M$2,N879:BO879))</f>
        <v/>
      </c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</row>
    <row r="880">
      <c r="A880" s="16" t="str">
        <f t="shared" si="14"/>
        <v/>
      </c>
      <c r="B880" s="16" t="str">
        <f t="shared" si="15"/>
        <v/>
      </c>
      <c r="C880" s="35" t="str">
        <f t="shared" si="16"/>
        <v/>
      </c>
      <c r="D880" s="35" t="str">
        <f t="shared" si="17"/>
        <v/>
      </c>
      <c r="E880" s="35" t="str">
        <f t="shared" si="18"/>
        <v/>
      </c>
      <c r="F880" s="35" t="str">
        <f t="shared" si="19"/>
        <v/>
      </c>
      <c r="G880" s="35" t="str">
        <f t="shared" si="20"/>
        <v/>
      </c>
      <c r="H880" s="25"/>
      <c r="I880" s="47" t="str">
        <f t="shared" si="21"/>
        <v/>
      </c>
      <c r="J880" s="48"/>
      <c r="K880" s="21" t="str">
        <f t="shared" si="13"/>
        <v/>
      </c>
      <c r="L880" s="21" t="str">
        <f t="shared" si="3"/>
        <v/>
      </c>
      <c r="M880" s="21" t="str">
        <f t="array" ref="M880">IF(H880="","",SUMif(year(N$2:BO$2),M$2,N880:BO880))</f>
        <v/>
      </c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</row>
    <row r="881">
      <c r="A881" s="16" t="str">
        <f t="shared" si="14"/>
        <v/>
      </c>
      <c r="B881" s="16" t="str">
        <f t="shared" si="15"/>
        <v/>
      </c>
      <c r="C881" s="35" t="str">
        <f t="shared" si="16"/>
        <v/>
      </c>
      <c r="D881" s="35" t="str">
        <f t="shared" si="17"/>
        <v/>
      </c>
      <c r="E881" s="35" t="str">
        <f t="shared" si="18"/>
        <v/>
      </c>
      <c r="F881" s="35" t="str">
        <f t="shared" si="19"/>
        <v/>
      </c>
      <c r="G881" s="35" t="str">
        <f t="shared" si="20"/>
        <v/>
      </c>
      <c r="H881" s="25"/>
      <c r="I881" s="47" t="str">
        <f t="shared" si="21"/>
        <v/>
      </c>
      <c r="J881" s="48"/>
      <c r="K881" s="21" t="str">
        <f t="shared" si="13"/>
        <v/>
      </c>
      <c r="L881" s="21" t="str">
        <f t="shared" si="3"/>
        <v/>
      </c>
      <c r="M881" s="21" t="str">
        <f t="array" ref="M881">IF(H881="","",SUMif(year(N$2:BO$2),M$2,N881:BO881))</f>
        <v/>
      </c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</row>
    <row r="882">
      <c r="A882" s="16" t="str">
        <f t="shared" si="14"/>
        <v/>
      </c>
      <c r="B882" s="16" t="str">
        <f t="shared" si="15"/>
        <v/>
      </c>
      <c r="C882" s="35" t="str">
        <f t="shared" si="16"/>
        <v/>
      </c>
      <c r="D882" s="35" t="str">
        <f t="shared" si="17"/>
        <v/>
      </c>
      <c r="E882" s="35" t="str">
        <f t="shared" si="18"/>
        <v/>
      </c>
      <c r="F882" s="35" t="str">
        <f t="shared" si="19"/>
        <v/>
      </c>
      <c r="G882" s="35" t="str">
        <f t="shared" si="20"/>
        <v/>
      </c>
      <c r="H882" s="25"/>
      <c r="I882" s="47" t="str">
        <f t="shared" si="21"/>
        <v/>
      </c>
      <c r="J882" s="48"/>
      <c r="K882" s="21" t="str">
        <f t="shared" si="13"/>
        <v/>
      </c>
      <c r="L882" s="21" t="str">
        <f t="shared" si="3"/>
        <v/>
      </c>
      <c r="M882" s="21" t="str">
        <f t="array" ref="M882">IF(H882="","",SUMif(year(N$2:BO$2),M$2,N882:BO882))</f>
        <v/>
      </c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</row>
    <row r="883">
      <c r="A883" s="16" t="str">
        <f t="shared" si="14"/>
        <v/>
      </c>
      <c r="B883" s="16" t="str">
        <f t="shared" si="15"/>
        <v/>
      </c>
      <c r="C883" s="35" t="str">
        <f t="shared" si="16"/>
        <v/>
      </c>
      <c r="D883" s="35" t="str">
        <f t="shared" si="17"/>
        <v/>
      </c>
      <c r="E883" s="35" t="str">
        <f t="shared" si="18"/>
        <v/>
      </c>
      <c r="F883" s="35" t="str">
        <f t="shared" si="19"/>
        <v/>
      </c>
      <c r="G883" s="35" t="str">
        <f t="shared" si="20"/>
        <v/>
      </c>
      <c r="H883" s="25"/>
      <c r="I883" s="47" t="str">
        <f t="shared" si="21"/>
        <v/>
      </c>
      <c r="J883" s="48"/>
      <c r="K883" s="21" t="str">
        <f t="shared" si="13"/>
        <v/>
      </c>
      <c r="L883" s="21" t="str">
        <f t="shared" si="3"/>
        <v/>
      </c>
      <c r="M883" s="21" t="str">
        <f t="array" ref="M883">IF(H883="","",SUMif(year(N$2:BO$2),M$2,N883:BO883))</f>
        <v/>
      </c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</row>
    <row r="884">
      <c r="A884" s="16" t="str">
        <f t="shared" si="14"/>
        <v/>
      </c>
      <c r="B884" s="16" t="str">
        <f t="shared" si="15"/>
        <v/>
      </c>
      <c r="C884" s="35" t="str">
        <f t="shared" si="16"/>
        <v/>
      </c>
      <c r="D884" s="35" t="str">
        <f t="shared" si="17"/>
        <v/>
      </c>
      <c r="E884" s="35" t="str">
        <f t="shared" si="18"/>
        <v/>
      </c>
      <c r="F884" s="35" t="str">
        <f t="shared" si="19"/>
        <v/>
      </c>
      <c r="G884" s="35" t="str">
        <f t="shared" si="20"/>
        <v/>
      </c>
      <c r="H884" s="25"/>
      <c r="I884" s="47" t="str">
        <f t="shared" si="21"/>
        <v/>
      </c>
      <c r="J884" s="48"/>
      <c r="K884" s="21" t="str">
        <f t="shared" si="13"/>
        <v/>
      </c>
      <c r="L884" s="21" t="str">
        <f t="shared" si="3"/>
        <v/>
      </c>
      <c r="M884" s="21" t="str">
        <f t="array" ref="M884">IF(H884="","",SUMif(year(N$2:BO$2),M$2,N884:BO884))</f>
        <v/>
      </c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</row>
    <row r="885">
      <c r="A885" s="16" t="str">
        <f t="shared" si="14"/>
        <v/>
      </c>
      <c r="B885" s="16" t="str">
        <f t="shared" si="15"/>
        <v/>
      </c>
      <c r="C885" s="35" t="str">
        <f t="shared" si="16"/>
        <v/>
      </c>
      <c r="D885" s="35" t="str">
        <f t="shared" si="17"/>
        <v/>
      </c>
      <c r="E885" s="35" t="str">
        <f t="shared" si="18"/>
        <v/>
      </c>
      <c r="F885" s="35" t="str">
        <f t="shared" si="19"/>
        <v/>
      </c>
      <c r="G885" s="35" t="str">
        <f t="shared" si="20"/>
        <v/>
      </c>
      <c r="H885" s="25"/>
      <c r="I885" s="47" t="str">
        <f t="shared" si="21"/>
        <v/>
      </c>
      <c r="J885" s="48"/>
      <c r="K885" s="21" t="str">
        <f t="shared" si="13"/>
        <v/>
      </c>
      <c r="L885" s="21" t="str">
        <f t="shared" si="3"/>
        <v/>
      </c>
      <c r="M885" s="21" t="str">
        <f t="array" ref="M885">IF(H885="","",SUMif(year(N$2:BO$2),M$2,N885:BO885))</f>
        <v/>
      </c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</row>
    <row r="886">
      <c r="A886" s="16" t="str">
        <f t="shared" si="14"/>
        <v/>
      </c>
      <c r="B886" s="16" t="str">
        <f t="shared" si="15"/>
        <v/>
      </c>
      <c r="C886" s="35" t="str">
        <f t="shared" si="16"/>
        <v/>
      </c>
      <c r="D886" s="35" t="str">
        <f t="shared" si="17"/>
        <v/>
      </c>
      <c r="E886" s="35" t="str">
        <f t="shared" si="18"/>
        <v/>
      </c>
      <c r="F886" s="35" t="str">
        <f t="shared" si="19"/>
        <v/>
      </c>
      <c r="G886" s="35" t="str">
        <f t="shared" si="20"/>
        <v/>
      </c>
      <c r="H886" s="25"/>
      <c r="I886" s="47" t="str">
        <f t="shared" si="21"/>
        <v/>
      </c>
      <c r="J886" s="48"/>
      <c r="K886" s="21" t="str">
        <f t="shared" si="13"/>
        <v/>
      </c>
      <c r="L886" s="21" t="str">
        <f t="shared" si="3"/>
        <v/>
      </c>
      <c r="M886" s="21" t="str">
        <f t="array" ref="M886">IF(H886="","",SUMif(year(N$2:BO$2),M$2,N886:BO886))</f>
        <v/>
      </c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</row>
    <row r="887">
      <c r="A887" s="16" t="str">
        <f t="shared" si="14"/>
        <v/>
      </c>
      <c r="B887" s="16" t="str">
        <f t="shared" si="15"/>
        <v/>
      </c>
      <c r="C887" s="35" t="str">
        <f t="shared" si="16"/>
        <v/>
      </c>
      <c r="D887" s="35" t="str">
        <f t="shared" si="17"/>
        <v/>
      </c>
      <c r="E887" s="35" t="str">
        <f t="shared" si="18"/>
        <v/>
      </c>
      <c r="F887" s="35" t="str">
        <f t="shared" si="19"/>
        <v/>
      </c>
      <c r="G887" s="35" t="str">
        <f t="shared" si="20"/>
        <v/>
      </c>
      <c r="H887" s="25"/>
      <c r="I887" s="47" t="str">
        <f t="shared" si="21"/>
        <v/>
      </c>
      <c r="J887" s="48"/>
      <c r="K887" s="21" t="str">
        <f t="shared" si="13"/>
        <v/>
      </c>
      <c r="L887" s="21" t="str">
        <f t="shared" si="3"/>
        <v/>
      </c>
      <c r="M887" s="21" t="str">
        <f t="array" ref="M887">IF(H887="","",SUMif(year(N$2:BO$2),M$2,N887:BO887))</f>
        <v/>
      </c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</row>
    <row r="888">
      <c r="A888" s="16" t="str">
        <f t="shared" si="14"/>
        <v/>
      </c>
      <c r="B888" s="16" t="str">
        <f t="shared" si="15"/>
        <v/>
      </c>
      <c r="C888" s="35" t="str">
        <f t="shared" si="16"/>
        <v/>
      </c>
      <c r="D888" s="35" t="str">
        <f t="shared" si="17"/>
        <v/>
      </c>
      <c r="E888" s="35" t="str">
        <f t="shared" si="18"/>
        <v/>
      </c>
      <c r="F888" s="35" t="str">
        <f t="shared" si="19"/>
        <v/>
      </c>
      <c r="G888" s="35" t="str">
        <f t="shared" si="20"/>
        <v/>
      </c>
      <c r="H888" s="25"/>
      <c r="I888" s="47" t="str">
        <f t="shared" si="21"/>
        <v/>
      </c>
      <c r="J888" s="48"/>
      <c r="K888" s="21" t="str">
        <f t="shared" si="13"/>
        <v/>
      </c>
      <c r="L888" s="21" t="str">
        <f t="shared" si="3"/>
        <v/>
      </c>
      <c r="M888" s="21" t="str">
        <f t="array" ref="M888">IF(H888="","",SUMif(year(N$2:BO$2),M$2,N888:BO888))</f>
        <v/>
      </c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</row>
    <row r="889">
      <c r="A889" s="16" t="str">
        <f t="shared" si="14"/>
        <v/>
      </c>
      <c r="B889" s="16" t="str">
        <f t="shared" si="15"/>
        <v/>
      </c>
      <c r="C889" s="35" t="str">
        <f t="shared" si="16"/>
        <v/>
      </c>
      <c r="D889" s="35" t="str">
        <f t="shared" si="17"/>
        <v/>
      </c>
      <c r="E889" s="35" t="str">
        <f t="shared" si="18"/>
        <v/>
      </c>
      <c r="F889" s="35" t="str">
        <f t="shared" si="19"/>
        <v/>
      </c>
      <c r="G889" s="35" t="str">
        <f t="shared" si="20"/>
        <v/>
      </c>
      <c r="H889" s="25"/>
      <c r="I889" s="47" t="str">
        <f t="shared" si="21"/>
        <v/>
      </c>
      <c r="J889" s="48"/>
      <c r="K889" s="21" t="str">
        <f t="shared" si="13"/>
        <v/>
      </c>
      <c r="L889" s="21" t="str">
        <f t="shared" si="3"/>
        <v/>
      </c>
      <c r="M889" s="21" t="str">
        <f t="array" ref="M889">IF(H889="","",SUMif(year(N$2:BO$2),M$2,N889:BO889))</f>
        <v/>
      </c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</row>
    <row r="890">
      <c r="A890" s="16" t="str">
        <f t="shared" si="14"/>
        <v/>
      </c>
      <c r="B890" s="16" t="str">
        <f t="shared" si="15"/>
        <v/>
      </c>
      <c r="C890" s="35" t="str">
        <f t="shared" si="16"/>
        <v/>
      </c>
      <c r="D890" s="35" t="str">
        <f t="shared" si="17"/>
        <v/>
      </c>
      <c r="E890" s="35" t="str">
        <f t="shared" si="18"/>
        <v/>
      </c>
      <c r="F890" s="35" t="str">
        <f t="shared" si="19"/>
        <v/>
      </c>
      <c r="G890" s="35" t="str">
        <f t="shared" si="20"/>
        <v/>
      </c>
      <c r="H890" s="25"/>
      <c r="I890" s="47" t="str">
        <f t="shared" si="21"/>
        <v/>
      </c>
      <c r="J890" s="48"/>
      <c r="K890" s="21" t="str">
        <f t="shared" si="13"/>
        <v/>
      </c>
      <c r="L890" s="21" t="str">
        <f t="shared" si="3"/>
        <v/>
      </c>
      <c r="M890" s="21" t="str">
        <f t="array" ref="M890">IF(H890="","",SUMif(year(N$2:BO$2),M$2,N890:BO890))</f>
        <v/>
      </c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</row>
    <row r="891">
      <c r="A891" s="16" t="str">
        <f t="shared" si="14"/>
        <v/>
      </c>
      <c r="B891" s="16" t="str">
        <f t="shared" si="15"/>
        <v/>
      </c>
      <c r="C891" s="35" t="str">
        <f t="shared" si="16"/>
        <v/>
      </c>
      <c r="D891" s="35" t="str">
        <f t="shared" si="17"/>
        <v/>
      </c>
      <c r="E891" s="35" t="str">
        <f t="shared" si="18"/>
        <v/>
      </c>
      <c r="F891" s="35" t="str">
        <f t="shared" si="19"/>
        <v/>
      </c>
      <c r="G891" s="35" t="str">
        <f t="shared" si="20"/>
        <v/>
      </c>
      <c r="H891" s="25"/>
      <c r="I891" s="47" t="str">
        <f t="shared" si="21"/>
        <v/>
      </c>
      <c r="J891" s="48"/>
      <c r="K891" s="21" t="str">
        <f t="shared" si="13"/>
        <v/>
      </c>
      <c r="L891" s="21" t="str">
        <f t="shared" si="3"/>
        <v/>
      </c>
      <c r="M891" s="21" t="str">
        <f t="array" ref="M891">IF(H891="","",SUMif(year(N$2:BO$2),M$2,N891:BO891))</f>
        <v/>
      </c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</row>
    <row r="892">
      <c r="A892" s="16" t="str">
        <f t="shared" si="14"/>
        <v/>
      </c>
      <c r="B892" s="16" t="str">
        <f t="shared" si="15"/>
        <v/>
      </c>
      <c r="C892" s="35" t="str">
        <f t="shared" si="16"/>
        <v/>
      </c>
      <c r="D892" s="35" t="str">
        <f t="shared" si="17"/>
        <v/>
      </c>
      <c r="E892" s="35" t="str">
        <f t="shared" si="18"/>
        <v/>
      </c>
      <c r="F892" s="35" t="str">
        <f t="shared" si="19"/>
        <v/>
      </c>
      <c r="G892" s="35" t="str">
        <f t="shared" si="20"/>
        <v/>
      </c>
      <c r="H892" s="25"/>
      <c r="I892" s="47" t="str">
        <f t="shared" si="21"/>
        <v/>
      </c>
      <c r="J892" s="48"/>
      <c r="K892" s="21" t="str">
        <f t="shared" si="13"/>
        <v/>
      </c>
      <c r="L892" s="21" t="str">
        <f t="shared" si="3"/>
        <v/>
      </c>
      <c r="M892" s="21" t="str">
        <f t="array" ref="M892">IF(H892="","",SUMif(year(N$2:BO$2),M$2,N892:BO892))</f>
        <v/>
      </c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</row>
    <row r="893">
      <c r="A893" s="16" t="str">
        <f t="shared" si="14"/>
        <v/>
      </c>
      <c r="B893" s="16" t="str">
        <f t="shared" si="15"/>
        <v/>
      </c>
      <c r="C893" s="35" t="str">
        <f t="shared" si="16"/>
        <v/>
      </c>
      <c r="D893" s="35" t="str">
        <f t="shared" si="17"/>
        <v/>
      </c>
      <c r="E893" s="35" t="str">
        <f t="shared" si="18"/>
        <v/>
      </c>
      <c r="F893" s="35" t="str">
        <f t="shared" si="19"/>
        <v/>
      </c>
      <c r="G893" s="35" t="str">
        <f t="shared" si="20"/>
        <v/>
      </c>
      <c r="H893" s="25"/>
      <c r="I893" s="47" t="str">
        <f t="shared" si="21"/>
        <v/>
      </c>
      <c r="J893" s="48"/>
      <c r="K893" s="21" t="str">
        <f t="shared" si="13"/>
        <v/>
      </c>
      <c r="L893" s="21" t="str">
        <f t="shared" si="3"/>
        <v/>
      </c>
      <c r="M893" s="21" t="str">
        <f t="array" ref="M893">IF(H893="","",SUMif(year(N$2:BO$2),M$2,N893:BO893))</f>
        <v/>
      </c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</row>
    <row r="894">
      <c r="A894" s="16" t="str">
        <f t="shared" si="14"/>
        <v/>
      </c>
      <c r="B894" s="16" t="str">
        <f t="shared" si="15"/>
        <v/>
      </c>
      <c r="C894" s="35" t="str">
        <f t="shared" si="16"/>
        <v/>
      </c>
      <c r="D894" s="35" t="str">
        <f t="shared" si="17"/>
        <v/>
      </c>
      <c r="E894" s="35" t="str">
        <f t="shared" si="18"/>
        <v/>
      </c>
      <c r="F894" s="35" t="str">
        <f t="shared" si="19"/>
        <v/>
      </c>
      <c r="G894" s="35" t="str">
        <f t="shared" si="20"/>
        <v/>
      </c>
      <c r="H894" s="25"/>
      <c r="I894" s="47" t="str">
        <f t="shared" si="21"/>
        <v/>
      </c>
      <c r="J894" s="48"/>
      <c r="K894" s="21" t="str">
        <f t="shared" si="13"/>
        <v/>
      </c>
      <c r="L894" s="21" t="str">
        <f t="shared" si="3"/>
        <v/>
      </c>
      <c r="M894" s="21" t="str">
        <f t="array" ref="M894">IF(H894="","",SUMif(year(N$2:BO$2),M$2,N894:BO894))</f>
        <v/>
      </c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</row>
    <row r="895">
      <c r="A895" s="16" t="str">
        <f t="shared" si="14"/>
        <v/>
      </c>
      <c r="B895" s="16" t="str">
        <f t="shared" si="15"/>
        <v/>
      </c>
      <c r="C895" s="35" t="str">
        <f t="shared" si="16"/>
        <v/>
      </c>
      <c r="D895" s="35" t="str">
        <f t="shared" si="17"/>
        <v/>
      </c>
      <c r="E895" s="35" t="str">
        <f t="shared" si="18"/>
        <v/>
      </c>
      <c r="F895" s="35" t="str">
        <f t="shared" si="19"/>
        <v/>
      </c>
      <c r="G895" s="35" t="str">
        <f t="shared" si="20"/>
        <v/>
      </c>
      <c r="H895" s="25"/>
      <c r="I895" s="47" t="str">
        <f t="shared" si="21"/>
        <v/>
      </c>
      <c r="J895" s="48"/>
      <c r="K895" s="21" t="str">
        <f t="shared" si="13"/>
        <v/>
      </c>
      <c r="L895" s="21" t="str">
        <f t="shared" si="3"/>
        <v/>
      </c>
      <c r="M895" s="21" t="str">
        <f t="array" ref="M895">IF(H895="","",SUMif(year(N$2:BO$2),M$2,N895:BO895))</f>
        <v/>
      </c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</row>
    <row r="896">
      <c r="A896" s="16" t="str">
        <f t="shared" si="14"/>
        <v/>
      </c>
      <c r="B896" s="16" t="str">
        <f t="shared" si="15"/>
        <v/>
      </c>
      <c r="C896" s="35" t="str">
        <f t="shared" si="16"/>
        <v/>
      </c>
      <c r="D896" s="35" t="str">
        <f t="shared" si="17"/>
        <v/>
      </c>
      <c r="E896" s="35" t="str">
        <f t="shared" si="18"/>
        <v/>
      </c>
      <c r="F896" s="35" t="str">
        <f t="shared" si="19"/>
        <v/>
      </c>
      <c r="G896" s="35" t="str">
        <f t="shared" si="20"/>
        <v/>
      </c>
      <c r="H896" s="25"/>
      <c r="I896" s="47" t="str">
        <f t="shared" si="21"/>
        <v/>
      </c>
      <c r="J896" s="48"/>
      <c r="K896" s="21" t="str">
        <f t="shared" si="13"/>
        <v/>
      </c>
      <c r="L896" s="21" t="str">
        <f t="shared" si="3"/>
        <v/>
      </c>
      <c r="M896" s="21" t="str">
        <f t="array" ref="M896">IF(H896="","",SUMif(year(N$2:BO$2),M$2,N896:BO896))</f>
        <v/>
      </c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</row>
    <row r="897">
      <c r="A897" s="16" t="str">
        <f t="shared" si="14"/>
        <v/>
      </c>
      <c r="B897" s="16" t="str">
        <f t="shared" si="15"/>
        <v/>
      </c>
      <c r="C897" s="35" t="str">
        <f t="shared" si="16"/>
        <v/>
      </c>
      <c r="D897" s="35" t="str">
        <f t="shared" si="17"/>
        <v/>
      </c>
      <c r="E897" s="35" t="str">
        <f t="shared" si="18"/>
        <v/>
      </c>
      <c r="F897" s="35" t="str">
        <f t="shared" si="19"/>
        <v/>
      </c>
      <c r="G897" s="35" t="str">
        <f t="shared" si="20"/>
        <v/>
      </c>
      <c r="H897" s="25"/>
      <c r="I897" s="47" t="str">
        <f t="shared" si="21"/>
        <v/>
      </c>
      <c r="J897" s="48"/>
      <c r="K897" s="21" t="str">
        <f t="shared" si="13"/>
        <v/>
      </c>
      <c r="L897" s="21" t="str">
        <f t="shared" si="3"/>
        <v/>
      </c>
      <c r="M897" s="21" t="str">
        <f t="array" ref="M897">IF(H897="","",SUMif(year(N$2:BO$2),M$2,N897:BO897))</f>
        <v/>
      </c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</row>
    <row r="898">
      <c r="A898" s="16" t="str">
        <f t="shared" si="14"/>
        <v/>
      </c>
      <c r="B898" s="16" t="str">
        <f t="shared" si="15"/>
        <v/>
      </c>
      <c r="C898" s="35" t="str">
        <f t="shared" si="16"/>
        <v/>
      </c>
      <c r="D898" s="35" t="str">
        <f t="shared" si="17"/>
        <v/>
      </c>
      <c r="E898" s="35" t="str">
        <f t="shared" si="18"/>
        <v/>
      </c>
      <c r="F898" s="35" t="str">
        <f t="shared" si="19"/>
        <v/>
      </c>
      <c r="G898" s="35" t="str">
        <f t="shared" si="20"/>
        <v/>
      </c>
      <c r="H898" s="25"/>
      <c r="I898" s="47" t="str">
        <f t="shared" si="21"/>
        <v/>
      </c>
      <c r="J898" s="48"/>
      <c r="K898" s="21" t="str">
        <f t="shared" si="13"/>
        <v/>
      </c>
      <c r="L898" s="21" t="str">
        <f t="shared" si="3"/>
        <v/>
      </c>
      <c r="M898" s="21" t="str">
        <f t="array" ref="M898">IF(H898="","",SUMif(year(N$2:BO$2),M$2,N898:BO898))</f>
        <v/>
      </c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</row>
    <row r="899">
      <c r="A899" s="16" t="str">
        <f t="shared" si="14"/>
        <v/>
      </c>
      <c r="B899" s="16" t="str">
        <f t="shared" si="15"/>
        <v/>
      </c>
      <c r="C899" s="35" t="str">
        <f t="shared" si="16"/>
        <v/>
      </c>
      <c r="D899" s="35" t="str">
        <f t="shared" si="17"/>
        <v/>
      </c>
      <c r="E899" s="35" t="str">
        <f t="shared" si="18"/>
        <v/>
      </c>
      <c r="F899" s="35" t="str">
        <f t="shared" si="19"/>
        <v/>
      </c>
      <c r="G899" s="35" t="str">
        <f t="shared" si="20"/>
        <v/>
      </c>
      <c r="H899" s="25"/>
      <c r="I899" s="47" t="str">
        <f t="shared" si="21"/>
        <v/>
      </c>
      <c r="J899" s="48"/>
      <c r="K899" s="21" t="str">
        <f t="shared" si="13"/>
        <v/>
      </c>
      <c r="L899" s="21" t="str">
        <f t="shared" si="3"/>
        <v/>
      </c>
      <c r="M899" s="21" t="str">
        <f t="array" ref="M899">IF(H899="","",SUMif(year(N$2:BO$2),M$2,N899:BO899))</f>
        <v/>
      </c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</row>
    <row r="900">
      <c r="A900" s="16" t="str">
        <f t="shared" si="14"/>
        <v/>
      </c>
      <c r="B900" s="16" t="str">
        <f t="shared" si="15"/>
        <v/>
      </c>
      <c r="C900" s="35" t="str">
        <f t="shared" si="16"/>
        <v/>
      </c>
      <c r="D900" s="35" t="str">
        <f t="shared" si="17"/>
        <v/>
      </c>
      <c r="E900" s="35" t="str">
        <f t="shared" si="18"/>
        <v/>
      </c>
      <c r="F900" s="35" t="str">
        <f t="shared" si="19"/>
        <v/>
      </c>
      <c r="G900" s="35" t="str">
        <f t="shared" si="20"/>
        <v/>
      </c>
      <c r="H900" s="25"/>
      <c r="I900" s="47" t="str">
        <f t="shared" si="21"/>
        <v/>
      </c>
      <c r="J900" s="48"/>
      <c r="K900" s="21" t="str">
        <f t="shared" si="13"/>
        <v/>
      </c>
      <c r="L900" s="21" t="str">
        <f t="shared" si="3"/>
        <v/>
      </c>
      <c r="M900" s="21" t="str">
        <f t="array" ref="M900">IF(H900="","",SUMif(year(N$2:BO$2),M$2,N900:BO900))</f>
        <v/>
      </c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</row>
    <row r="901">
      <c r="A901" s="16" t="str">
        <f t="shared" si="14"/>
        <v/>
      </c>
      <c r="B901" s="16" t="str">
        <f t="shared" si="15"/>
        <v/>
      </c>
      <c r="C901" s="35" t="str">
        <f t="shared" si="16"/>
        <v/>
      </c>
      <c r="D901" s="35" t="str">
        <f t="shared" si="17"/>
        <v/>
      </c>
      <c r="E901" s="35" t="str">
        <f t="shared" si="18"/>
        <v/>
      </c>
      <c r="F901" s="35" t="str">
        <f t="shared" si="19"/>
        <v/>
      </c>
      <c r="G901" s="35" t="str">
        <f t="shared" si="20"/>
        <v/>
      </c>
      <c r="H901" s="25"/>
      <c r="I901" s="47" t="str">
        <f t="shared" si="21"/>
        <v/>
      </c>
      <c r="J901" s="48"/>
      <c r="K901" s="21" t="str">
        <f t="shared" si="13"/>
        <v/>
      </c>
      <c r="L901" s="21" t="str">
        <f t="shared" si="3"/>
        <v/>
      </c>
      <c r="M901" s="21" t="str">
        <f t="array" ref="M901">IF(H901="","",SUMif(year(N$2:BO$2),M$2,N901:BO901))</f>
        <v/>
      </c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</row>
    <row r="902">
      <c r="A902" s="16" t="str">
        <f t="shared" si="14"/>
        <v/>
      </c>
      <c r="B902" s="16" t="str">
        <f t="shared" si="15"/>
        <v/>
      </c>
      <c r="C902" s="35" t="str">
        <f t="shared" si="16"/>
        <v/>
      </c>
      <c r="D902" s="35" t="str">
        <f t="shared" si="17"/>
        <v/>
      </c>
      <c r="E902" s="35" t="str">
        <f t="shared" si="18"/>
        <v/>
      </c>
      <c r="F902" s="35" t="str">
        <f t="shared" si="19"/>
        <v/>
      </c>
      <c r="G902" s="35" t="str">
        <f t="shared" si="20"/>
        <v/>
      </c>
      <c r="H902" s="25"/>
      <c r="I902" s="47" t="str">
        <f t="shared" si="21"/>
        <v/>
      </c>
      <c r="J902" s="48"/>
      <c r="K902" s="21" t="str">
        <f t="shared" si="13"/>
        <v/>
      </c>
      <c r="L902" s="21" t="str">
        <f t="shared" si="3"/>
        <v/>
      </c>
      <c r="M902" s="21" t="str">
        <f t="array" ref="M902">IF(H902="","",SUMif(year(N$2:BO$2),M$2,N902:BO902))</f>
        <v/>
      </c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</row>
    <row r="903">
      <c r="A903" s="16" t="str">
        <f t="shared" si="14"/>
        <v/>
      </c>
      <c r="B903" s="16" t="str">
        <f t="shared" si="15"/>
        <v/>
      </c>
      <c r="C903" s="35" t="str">
        <f t="shared" si="16"/>
        <v/>
      </c>
      <c r="D903" s="35" t="str">
        <f t="shared" si="17"/>
        <v/>
      </c>
      <c r="E903" s="35" t="str">
        <f t="shared" si="18"/>
        <v/>
      </c>
      <c r="F903" s="35" t="str">
        <f t="shared" si="19"/>
        <v/>
      </c>
      <c r="G903" s="35" t="str">
        <f t="shared" si="20"/>
        <v/>
      </c>
      <c r="H903" s="25"/>
      <c r="I903" s="47" t="str">
        <f t="shared" si="21"/>
        <v/>
      </c>
      <c r="J903" s="48"/>
      <c r="K903" s="21" t="str">
        <f t="shared" si="13"/>
        <v/>
      </c>
      <c r="L903" s="21" t="str">
        <f t="shared" si="3"/>
        <v/>
      </c>
      <c r="M903" s="21" t="str">
        <f t="array" ref="M903">IF(H903="","",SUMif(year(N$2:BO$2),M$2,N903:BO903))</f>
        <v/>
      </c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</row>
    <row r="904">
      <c r="A904" s="16" t="str">
        <f t="shared" si="14"/>
        <v/>
      </c>
      <c r="B904" s="16" t="str">
        <f t="shared" si="15"/>
        <v/>
      </c>
      <c r="C904" s="35" t="str">
        <f t="shared" si="16"/>
        <v/>
      </c>
      <c r="D904" s="35" t="str">
        <f t="shared" si="17"/>
        <v/>
      </c>
      <c r="E904" s="35" t="str">
        <f t="shared" si="18"/>
        <v/>
      </c>
      <c r="F904" s="35" t="str">
        <f t="shared" si="19"/>
        <v/>
      </c>
      <c r="G904" s="35" t="str">
        <f t="shared" si="20"/>
        <v/>
      </c>
      <c r="H904" s="25"/>
      <c r="I904" s="47" t="str">
        <f t="shared" si="21"/>
        <v/>
      </c>
      <c r="J904" s="48"/>
      <c r="K904" s="21" t="str">
        <f t="shared" si="13"/>
        <v/>
      </c>
      <c r="L904" s="21" t="str">
        <f t="shared" si="3"/>
        <v/>
      </c>
      <c r="M904" s="21" t="str">
        <f t="array" ref="M904">IF(H904="","",SUMif(year(N$2:BO$2),M$2,N904:BO904))</f>
        <v/>
      </c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</row>
    <row r="905">
      <c r="A905" s="16" t="str">
        <f t="shared" si="14"/>
        <v/>
      </c>
      <c r="B905" s="16" t="str">
        <f t="shared" si="15"/>
        <v/>
      </c>
      <c r="C905" s="35" t="str">
        <f t="shared" si="16"/>
        <v/>
      </c>
      <c r="D905" s="35" t="str">
        <f t="shared" si="17"/>
        <v/>
      </c>
      <c r="E905" s="35" t="str">
        <f t="shared" si="18"/>
        <v/>
      </c>
      <c r="F905" s="35" t="str">
        <f t="shared" si="19"/>
        <v/>
      </c>
      <c r="G905" s="35" t="str">
        <f t="shared" si="20"/>
        <v/>
      </c>
      <c r="H905" s="25"/>
      <c r="I905" s="47" t="str">
        <f t="shared" si="21"/>
        <v/>
      </c>
      <c r="J905" s="48"/>
      <c r="K905" s="21" t="str">
        <f t="shared" si="13"/>
        <v/>
      </c>
      <c r="L905" s="21" t="str">
        <f t="shared" si="3"/>
        <v/>
      </c>
      <c r="M905" s="21" t="str">
        <f t="array" ref="M905">IF(H905="","",SUMif(year(N$2:BO$2),M$2,N905:BO905))</f>
        <v/>
      </c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</row>
    <row r="906">
      <c r="A906" s="16" t="str">
        <f t="shared" si="14"/>
        <v/>
      </c>
      <c r="B906" s="16" t="str">
        <f t="shared" si="15"/>
        <v/>
      </c>
      <c r="C906" s="35" t="str">
        <f t="shared" si="16"/>
        <v/>
      </c>
      <c r="D906" s="35" t="str">
        <f t="shared" si="17"/>
        <v/>
      </c>
      <c r="E906" s="35" t="str">
        <f t="shared" si="18"/>
        <v/>
      </c>
      <c r="F906" s="35" t="str">
        <f t="shared" si="19"/>
        <v/>
      </c>
      <c r="G906" s="35" t="str">
        <f t="shared" si="20"/>
        <v/>
      </c>
      <c r="H906" s="25"/>
      <c r="I906" s="47" t="str">
        <f t="shared" si="21"/>
        <v/>
      </c>
      <c r="J906" s="48"/>
      <c r="K906" s="21" t="str">
        <f t="shared" si="13"/>
        <v/>
      </c>
      <c r="L906" s="21" t="str">
        <f t="shared" si="3"/>
        <v/>
      </c>
      <c r="M906" s="21" t="str">
        <f t="array" ref="M906">IF(H906="","",SUMif(year(N$2:BO$2),M$2,N906:BO906))</f>
        <v/>
      </c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</row>
    <row r="907">
      <c r="A907" s="16" t="str">
        <f t="shared" si="14"/>
        <v/>
      </c>
      <c r="B907" s="16" t="str">
        <f t="shared" si="15"/>
        <v/>
      </c>
      <c r="C907" s="35" t="str">
        <f t="shared" si="16"/>
        <v/>
      </c>
      <c r="D907" s="35" t="str">
        <f t="shared" si="17"/>
        <v/>
      </c>
      <c r="E907" s="35" t="str">
        <f t="shared" si="18"/>
        <v/>
      </c>
      <c r="F907" s="35" t="str">
        <f t="shared" si="19"/>
        <v/>
      </c>
      <c r="G907" s="35" t="str">
        <f t="shared" si="20"/>
        <v/>
      </c>
      <c r="H907" s="49"/>
      <c r="I907" s="47" t="str">
        <f t="shared" si="21"/>
        <v/>
      </c>
      <c r="J907" s="50"/>
      <c r="K907" s="45" t="b">
        <v>0</v>
      </c>
      <c r="L907" s="45"/>
      <c r="M907" s="45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</row>
    <row r="908">
      <c r="A908" s="16" t="str">
        <f t="shared" si="14"/>
        <v/>
      </c>
      <c r="B908" s="16" t="str">
        <f t="shared" si="15"/>
        <v/>
      </c>
      <c r="C908" s="35" t="str">
        <f t="shared" si="16"/>
        <v/>
      </c>
      <c r="D908" s="35" t="str">
        <f t="shared" si="17"/>
        <v/>
      </c>
      <c r="E908" s="35" t="str">
        <f t="shared" si="18"/>
        <v/>
      </c>
      <c r="F908" s="35" t="str">
        <f t="shared" si="19"/>
        <v/>
      </c>
      <c r="G908" s="35" t="str">
        <f t="shared" si="20"/>
        <v/>
      </c>
      <c r="H908" s="49"/>
      <c r="I908" s="47" t="str">
        <f t="shared" si="21"/>
        <v/>
      </c>
      <c r="J908" s="50"/>
      <c r="K908" s="45" t="b">
        <v>0</v>
      </c>
      <c r="L908" s="45"/>
      <c r="M908" s="45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</row>
    <row r="909">
      <c r="A909" s="16" t="str">
        <f t="shared" si="14"/>
        <v/>
      </c>
      <c r="B909" s="16" t="str">
        <f t="shared" si="15"/>
        <v/>
      </c>
      <c r="C909" s="35" t="str">
        <f t="shared" si="16"/>
        <v/>
      </c>
      <c r="D909" s="35" t="str">
        <f t="shared" si="17"/>
        <v/>
      </c>
      <c r="E909" s="35" t="str">
        <f t="shared" si="18"/>
        <v/>
      </c>
      <c r="F909" s="35" t="str">
        <f t="shared" si="19"/>
        <v/>
      </c>
      <c r="G909" s="35" t="str">
        <f t="shared" si="20"/>
        <v/>
      </c>
      <c r="H909" s="49"/>
      <c r="I909" s="47" t="str">
        <f t="shared" si="21"/>
        <v/>
      </c>
      <c r="J909" s="50"/>
      <c r="K909" s="45" t="b">
        <v>0</v>
      </c>
      <c r="L909" s="45"/>
      <c r="M909" s="45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</row>
    <row r="910">
      <c r="A910" s="16" t="str">
        <f t="shared" si="14"/>
        <v/>
      </c>
      <c r="B910" s="16" t="str">
        <f t="shared" si="15"/>
        <v/>
      </c>
      <c r="C910" s="35" t="str">
        <f t="shared" si="16"/>
        <v/>
      </c>
      <c r="D910" s="35" t="str">
        <f t="shared" si="17"/>
        <v/>
      </c>
      <c r="E910" s="35" t="str">
        <f t="shared" si="18"/>
        <v/>
      </c>
      <c r="F910" s="35" t="str">
        <f t="shared" si="19"/>
        <v/>
      </c>
      <c r="G910" s="35" t="str">
        <f t="shared" si="20"/>
        <v/>
      </c>
      <c r="H910" s="49"/>
      <c r="I910" s="47" t="str">
        <f t="shared" si="21"/>
        <v/>
      </c>
      <c r="J910" s="50"/>
      <c r="K910" s="45" t="b">
        <v>0</v>
      </c>
      <c r="L910" s="45"/>
      <c r="M910" s="45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</row>
    <row r="911">
      <c r="A911" s="16" t="str">
        <f t="shared" si="14"/>
        <v/>
      </c>
      <c r="B911" s="16" t="str">
        <f t="shared" si="15"/>
        <v/>
      </c>
      <c r="C911" s="35" t="str">
        <f t="shared" si="16"/>
        <v/>
      </c>
      <c r="D911" s="35" t="str">
        <f t="shared" si="17"/>
        <v/>
      </c>
      <c r="E911" s="35" t="str">
        <f t="shared" si="18"/>
        <v/>
      </c>
      <c r="F911" s="35" t="str">
        <f t="shared" si="19"/>
        <v/>
      </c>
      <c r="G911" s="35" t="str">
        <f t="shared" si="20"/>
        <v/>
      </c>
      <c r="H911" s="49"/>
      <c r="I911" s="47" t="str">
        <f t="shared" si="21"/>
        <v/>
      </c>
      <c r="J911" s="50"/>
      <c r="K911" s="45" t="b">
        <v>0</v>
      </c>
      <c r="L911" s="45"/>
      <c r="M911" s="45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</row>
    <row r="912">
      <c r="A912" s="16" t="str">
        <f t="shared" si="14"/>
        <v/>
      </c>
      <c r="B912" s="16" t="str">
        <f t="shared" si="15"/>
        <v/>
      </c>
      <c r="C912" s="35" t="str">
        <f t="shared" si="16"/>
        <v/>
      </c>
      <c r="D912" s="35" t="str">
        <f t="shared" si="17"/>
        <v/>
      </c>
      <c r="E912" s="35" t="str">
        <f t="shared" si="18"/>
        <v/>
      </c>
      <c r="F912" s="35" t="str">
        <f t="shared" si="19"/>
        <v/>
      </c>
      <c r="G912" s="35" t="str">
        <f t="shared" si="20"/>
        <v/>
      </c>
      <c r="H912" s="49"/>
      <c r="I912" s="47" t="str">
        <f t="shared" si="21"/>
        <v/>
      </c>
      <c r="J912" s="50"/>
      <c r="K912" s="45" t="b">
        <v>0</v>
      </c>
      <c r="L912" s="45"/>
      <c r="M912" s="45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</row>
    <row r="913">
      <c r="A913" s="16" t="str">
        <f t="shared" si="14"/>
        <v/>
      </c>
      <c r="B913" s="16" t="str">
        <f t="shared" si="15"/>
        <v/>
      </c>
      <c r="C913" s="35" t="str">
        <f t="shared" si="16"/>
        <v/>
      </c>
      <c r="D913" s="35" t="str">
        <f t="shared" si="17"/>
        <v/>
      </c>
      <c r="E913" s="35" t="str">
        <f t="shared" si="18"/>
        <v/>
      </c>
      <c r="F913" s="35" t="str">
        <f t="shared" si="19"/>
        <v/>
      </c>
      <c r="G913" s="35" t="str">
        <f t="shared" si="20"/>
        <v/>
      </c>
      <c r="H913" s="49"/>
      <c r="I913" s="47" t="str">
        <f t="shared" si="21"/>
        <v/>
      </c>
      <c r="J913" s="50"/>
      <c r="K913" s="45" t="b">
        <v>0</v>
      </c>
      <c r="L913" s="45"/>
      <c r="M913" s="45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</row>
    <row r="914">
      <c r="A914" s="16" t="str">
        <f t="shared" si="14"/>
        <v/>
      </c>
      <c r="B914" s="16" t="str">
        <f t="shared" si="15"/>
        <v/>
      </c>
      <c r="C914" s="35" t="str">
        <f t="shared" si="16"/>
        <v/>
      </c>
      <c r="D914" s="35" t="str">
        <f t="shared" si="17"/>
        <v/>
      </c>
      <c r="E914" s="35" t="str">
        <f t="shared" si="18"/>
        <v/>
      </c>
      <c r="F914" s="35" t="str">
        <f t="shared" si="19"/>
        <v/>
      </c>
      <c r="G914" s="35" t="str">
        <f t="shared" si="20"/>
        <v/>
      </c>
      <c r="H914" s="49"/>
      <c r="I914" s="47" t="str">
        <f t="shared" si="21"/>
        <v/>
      </c>
      <c r="J914" s="50"/>
      <c r="K914" s="45" t="b">
        <v>0</v>
      </c>
      <c r="L914" s="45"/>
      <c r="M914" s="45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</row>
    <row r="915">
      <c r="A915" s="16" t="str">
        <f t="shared" si="14"/>
        <v/>
      </c>
      <c r="B915" s="16" t="str">
        <f t="shared" si="15"/>
        <v/>
      </c>
      <c r="C915" s="35" t="str">
        <f t="shared" si="16"/>
        <v/>
      </c>
      <c r="D915" s="35" t="str">
        <f t="shared" si="17"/>
        <v/>
      </c>
      <c r="E915" s="35" t="str">
        <f t="shared" si="18"/>
        <v/>
      </c>
      <c r="F915" s="35" t="str">
        <f t="shared" si="19"/>
        <v/>
      </c>
      <c r="G915" s="35" t="str">
        <f t="shared" si="20"/>
        <v/>
      </c>
      <c r="H915" s="49"/>
      <c r="I915" s="47" t="str">
        <f t="shared" si="21"/>
        <v/>
      </c>
      <c r="J915" s="50"/>
      <c r="K915" s="45" t="b">
        <v>0</v>
      </c>
      <c r="L915" s="45"/>
      <c r="M915" s="45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</row>
    <row r="916">
      <c r="A916" s="16" t="str">
        <f t="shared" si="14"/>
        <v/>
      </c>
      <c r="B916" s="16" t="str">
        <f t="shared" si="15"/>
        <v/>
      </c>
      <c r="C916" s="35" t="str">
        <f t="shared" si="16"/>
        <v/>
      </c>
      <c r="D916" s="35" t="str">
        <f t="shared" si="17"/>
        <v/>
      </c>
      <c r="E916" s="35" t="str">
        <f t="shared" si="18"/>
        <v/>
      </c>
      <c r="F916" s="35" t="str">
        <f t="shared" si="19"/>
        <v/>
      </c>
      <c r="G916" s="35" t="str">
        <f t="shared" si="20"/>
        <v/>
      </c>
      <c r="H916" s="49"/>
      <c r="I916" s="47" t="str">
        <f t="shared" si="21"/>
        <v/>
      </c>
      <c r="J916" s="50"/>
      <c r="K916" s="45" t="b">
        <v>0</v>
      </c>
      <c r="L916" s="45"/>
      <c r="M916" s="45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</row>
    <row r="917">
      <c r="A917" s="16" t="str">
        <f t="shared" si="14"/>
        <v/>
      </c>
      <c r="B917" s="16" t="str">
        <f t="shared" si="15"/>
        <v/>
      </c>
      <c r="C917" s="35" t="str">
        <f t="shared" si="16"/>
        <v/>
      </c>
      <c r="D917" s="35" t="str">
        <f t="shared" si="17"/>
        <v/>
      </c>
      <c r="E917" s="35" t="str">
        <f t="shared" si="18"/>
        <v/>
      </c>
      <c r="F917" s="35" t="str">
        <f t="shared" si="19"/>
        <v/>
      </c>
      <c r="G917" s="35" t="str">
        <f t="shared" si="20"/>
        <v/>
      </c>
      <c r="H917" s="49"/>
      <c r="I917" s="47" t="str">
        <f t="shared" si="21"/>
        <v/>
      </c>
      <c r="J917" s="50"/>
      <c r="K917" s="45" t="b">
        <v>0</v>
      </c>
      <c r="L917" s="45"/>
      <c r="M917" s="45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</row>
    <row r="918">
      <c r="A918" s="16" t="str">
        <f t="shared" si="14"/>
        <v/>
      </c>
      <c r="B918" s="16" t="str">
        <f t="shared" si="15"/>
        <v/>
      </c>
      <c r="C918" s="35" t="str">
        <f t="shared" si="16"/>
        <v/>
      </c>
      <c r="D918" s="35" t="str">
        <f t="shared" si="17"/>
        <v/>
      </c>
      <c r="E918" s="35" t="str">
        <f t="shared" si="18"/>
        <v/>
      </c>
      <c r="F918" s="35" t="str">
        <f t="shared" si="19"/>
        <v/>
      </c>
      <c r="G918" s="35" t="str">
        <f t="shared" si="20"/>
        <v/>
      </c>
      <c r="H918" s="49"/>
      <c r="I918" s="47" t="str">
        <f t="shared" si="21"/>
        <v/>
      </c>
      <c r="J918" s="50"/>
      <c r="K918" s="45" t="b">
        <v>0</v>
      </c>
      <c r="L918" s="45"/>
      <c r="M918" s="45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</row>
    <row r="919">
      <c r="A919" s="16" t="str">
        <f t="shared" si="14"/>
        <v/>
      </c>
      <c r="B919" s="16" t="str">
        <f t="shared" si="15"/>
        <v/>
      </c>
      <c r="C919" s="35" t="str">
        <f t="shared" si="16"/>
        <v/>
      </c>
      <c r="D919" s="35" t="str">
        <f t="shared" si="17"/>
        <v/>
      </c>
      <c r="E919" s="35" t="str">
        <f t="shared" si="18"/>
        <v/>
      </c>
      <c r="F919" s="35" t="str">
        <f t="shared" si="19"/>
        <v/>
      </c>
      <c r="G919" s="35" t="str">
        <f t="shared" si="20"/>
        <v/>
      </c>
      <c r="H919" s="49"/>
      <c r="I919" s="47" t="str">
        <f t="shared" si="21"/>
        <v/>
      </c>
      <c r="J919" s="50"/>
      <c r="K919" s="45" t="b">
        <v>0</v>
      </c>
      <c r="L919" s="45"/>
      <c r="M919" s="45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</row>
    <row r="920">
      <c r="A920" s="16" t="str">
        <f t="shared" si="14"/>
        <v/>
      </c>
      <c r="B920" s="16" t="str">
        <f t="shared" si="15"/>
        <v/>
      </c>
      <c r="C920" s="35" t="str">
        <f t="shared" si="16"/>
        <v/>
      </c>
      <c r="D920" s="35" t="str">
        <f t="shared" si="17"/>
        <v/>
      </c>
      <c r="E920" s="35" t="str">
        <f t="shared" si="18"/>
        <v/>
      </c>
      <c r="F920" s="35" t="str">
        <f t="shared" si="19"/>
        <v/>
      </c>
      <c r="G920" s="35" t="str">
        <f t="shared" si="20"/>
        <v/>
      </c>
      <c r="H920" s="49"/>
      <c r="I920" s="47" t="str">
        <f t="shared" si="21"/>
        <v/>
      </c>
      <c r="J920" s="50"/>
      <c r="K920" s="45" t="b">
        <v>0</v>
      </c>
      <c r="L920" s="45"/>
      <c r="M920" s="45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</row>
    <row r="921">
      <c r="A921" s="16" t="str">
        <f t="shared" si="14"/>
        <v/>
      </c>
      <c r="B921" s="16" t="str">
        <f t="shared" si="15"/>
        <v/>
      </c>
      <c r="C921" s="35" t="str">
        <f t="shared" si="16"/>
        <v/>
      </c>
      <c r="D921" s="35" t="str">
        <f t="shared" si="17"/>
        <v/>
      </c>
      <c r="E921" s="35" t="str">
        <f t="shared" si="18"/>
        <v/>
      </c>
      <c r="F921" s="35" t="str">
        <f t="shared" si="19"/>
        <v/>
      </c>
      <c r="G921" s="35" t="str">
        <f t="shared" si="20"/>
        <v/>
      </c>
      <c r="H921" s="49"/>
      <c r="I921" s="47" t="str">
        <f t="shared" si="21"/>
        <v/>
      </c>
      <c r="J921" s="50"/>
      <c r="K921" s="45" t="b">
        <v>0</v>
      </c>
      <c r="L921" s="45"/>
      <c r="M921" s="45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</row>
    <row r="922">
      <c r="A922" s="16" t="str">
        <f t="shared" si="14"/>
        <v/>
      </c>
      <c r="B922" s="16" t="str">
        <f t="shared" si="15"/>
        <v/>
      </c>
      <c r="C922" s="35" t="str">
        <f t="shared" si="16"/>
        <v/>
      </c>
      <c r="D922" s="35" t="str">
        <f t="shared" si="17"/>
        <v/>
      </c>
      <c r="E922" s="35" t="str">
        <f t="shared" si="18"/>
        <v/>
      </c>
      <c r="F922" s="35" t="str">
        <f t="shared" si="19"/>
        <v/>
      </c>
      <c r="G922" s="35" t="str">
        <f t="shared" si="20"/>
        <v/>
      </c>
      <c r="H922" s="49"/>
      <c r="I922" s="47" t="str">
        <f t="shared" si="21"/>
        <v/>
      </c>
      <c r="J922" s="50"/>
      <c r="K922" s="45" t="b">
        <v>0</v>
      </c>
      <c r="L922" s="45"/>
      <c r="M922" s="45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</row>
    <row r="923">
      <c r="A923" s="16" t="str">
        <f t="shared" si="14"/>
        <v/>
      </c>
      <c r="B923" s="16" t="str">
        <f t="shared" si="15"/>
        <v/>
      </c>
      <c r="C923" s="35" t="str">
        <f t="shared" si="16"/>
        <v/>
      </c>
      <c r="D923" s="35" t="str">
        <f t="shared" si="17"/>
        <v/>
      </c>
      <c r="E923" s="35" t="str">
        <f t="shared" si="18"/>
        <v/>
      </c>
      <c r="F923" s="35" t="str">
        <f t="shared" si="19"/>
        <v/>
      </c>
      <c r="G923" s="35" t="str">
        <f t="shared" si="20"/>
        <v/>
      </c>
      <c r="H923" s="49"/>
      <c r="I923" s="47" t="str">
        <f t="shared" si="21"/>
        <v/>
      </c>
      <c r="J923" s="50"/>
      <c r="K923" s="45" t="b">
        <v>0</v>
      </c>
      <c r="L923" s="45"/>
      <c r="M923" s="45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</row>
    <row r="924">
      <c r="A924" s="16" t="str">
        <f t="shared" si="14"/>
        <v/>
      </c>
      <c r="B924" s="16" t="str">
        <f t="shared" si="15"/>
        <v/>
      </c>
      <c r="C924" s="35" t="str">
        <f t="shared" si="16"/>
        <v/>
      </c>
      <c r="D924" s="35" t="str">
        <f t="shared" si="17"/>
        <v/>
      </c>
      <c r="E924" s="35" t="str">
        <f t="shared" si="18"/>
        <v/>
      </c>
      <c r="F924" s="35" t="str">
        <f t="shared" si="19"/>
        <v/>
      </c>
      <c r="G924" s="35" t="str">
        <f t="shared" si="20"/>
        <v/>
      </c>
      <c r="H924" s="49"/>
      <c r="I924" s="47" t="str">
        <f t="shared" si="21"/>
        <v/>
      </c>
      <c r="J924" s="50"/>
      <c r="K924" s="45" t="b">
        <v>0</v>
      </c>
      <c r="L924" s="45"/>
      <c r="M924" s="45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</row>
    <row r="925">
      <c r="A925" s="16" t="str">
        <f t="shared" si="14"/>
        <v/>
      </c>
      <c r="B925" s="16" t="str">
        <f t="shared" si="15"/>
        <v/>
      </c>
      <c r="C925" s="35" t="str">
        <f t="shared" si="16"/>
        <v/>
      </c>
      <c r="D925" s="35" t="str">
        <f t="shared" si="17"/>
        <v/>
      </c>
      <c r="E925" s="35" t="str">
        <f t="shared" si="18"/>
        <v/>
      </c>
      <c r="F925" s="35" t="str">
        <f t="shared" si="19"/>
        <v/>
      </c>
      <c r="G925" s="35" t="str">
        <f t="shared" si="20"/>
        <v/>
      </c>
      <c r="H925" s="49"/>
      <c r="I925" s="47" t="str">
        <f t="shared" si="21"/>
        <v/>
      </c>
      <c r="J925" s="50"/>
      <c r="K925" s="45" t="b">
        <v>0</v>
      </c>
      <c r="L925" s="45"/>
      <c r="M925" s="45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</row>
    <row r="926">
      <c r="A926" s="16" t="str">
        <f t="shared" si="14"/>
        <v/>
      </c>
      <c r="B926" s="16" t="str">
        <f t="shared" si="15"/>
        <v/>
      </c>
      <c r="C926" s="35" t="str">
        <f t="shared" si="16"/>
        <v/>
      </c>
      <c r="D926" s="35" t="str">
        <f t="shared" si="17"/>
        <v/>
      </c>
      <c r="E926" s="35" t="str">
        <f t="shared" si="18"/>
        <v/>
      </c>
      <c r="F926" s="35" t="str">
        <f t="shared" si="19"/>
        <v/>
      </c>
      <c r="G926" s="35" t="str">
        <f t="shared" si="20"/>
        <v/>
      </c>
      <c r="H926" s="49"/>
      <c r="I926" s="47" t="str">
        <f t="shared" si="21"/>
        <v/>
      </c>
      <c r="J926" s="50"/>
      <c r="K926" s="45" t="b">
        <v>0</v>
      </c>
      <c r="L926" s="45"/>
      <c r="M926" s="45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</row>
    <row r="927">
      <c r="A927" s="16" t="str">
        <f t="shared" si="14"/>
        <v/>
      </c>
      <c r="B927" s="16" t="str">
        <f t="shared" si="15"/>
        <v/>
      </c>
      <c r="C927" s="35" t="str">
        <f t="shared" si="16"/>
        <v/>
      </c>
      <c r="D927" s="35" t="str">
        <f t="shared" si="17"/>
        <v/>
      </c>
      <c r="E927" s="35" t="str">
        <f t="shared" si="18"/>
        <v/>
      </c>
      <c r="F927" s="35" t="str">
        <f t="shared" si="19"/>
        <v/>
      </c>
      <c r="G927" s="35" t="str">
        <f t="shared" si="20"/>
        <v/>
      </c>
      <c r="H927" s="49"/>
      <c r="I927" s="47" t="str">
        <f t="shared" si="21"/>
        <v/>
      </c>
      <c r="J927" s="50"/>
      <c r="K927" s="45" t="b">
        <v>0</v>
      </c>
      <c r="L927" s="45"/>
      <c r="M927" s="45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</row>
    <row r="928">
      <c r="A928" s="16" t="str">
        <f t="shared" si="14"/>
        <v/>
      </c>
      <c r="B928" s="16" t="str">
        <f t="shared" si="15"/>
        <v/>
      </c>
      <c r="C928" s="35" t="str">
        <f t="shared" si="16"/>
        <v/>
      </c>
      <c r="D928" s="35" t="str">
        <f t="shared" si="17"/>
        <v/>
      </c>
      <c r="E928" s="35" t="str">
        <f t="shared" si="18"/>
        <v/>
      </c>
      <c r="F928" s="35" t="str">
        <f t="shared" si="19"/>
        <v/>
      </c>
      <c r="G928" s="35" t="str">
        <f t="shared" si="20"/>
        <v/>
      </c>
      <c r="H928" s="49"/>
      <c r="I928" s="47" t="str">
        <f t="shared" si="21"/>
        <v/>
      </c>
      <c r="J928" s="50"/>
      <c r="K928" s="45" t="b">
        <v>0</v>
      </c>
      <c r="L928" s="45"/>
      <c r="M928" s="45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</row>
    <row r="929">
      <c r="A929" s="16" t="str">
        <f t="shared" si="14"/>
        <v/>
      </c>
      <c r="B929" s="16" t="str">
        <f t="shared" si="15"/>
        <v/>
      </c>
      <c r="C929" s="35" t="str">
        <f t="shared" si="16"/>
        <v/>
      </c>
      <c r="D929" s="35" t="str">
        <f t="shared" si="17"/>
        <v/>
      </c>
      <c r="E929" s="35" t="str">
        <f t="shared" si="18"/>
        <v/>
      </c>
      <c r="F929" s="35" t="str">
        <f t="shared" si="19"/>
        <v/>
      </c>
      <c r="G929" s="35" t="str">
        <f t="shared" si="20"/>
        <v/>
      </c>
      <c r="H929" s="49"/>
      <c r="I929" s="47" t="str">
        <f t="shared" si="21"/>
        <v/>
      </c>
      <c r="J929" s="50"/>
      <c r="K929" s="45" t="b">
        <v>0</v>
      </c>
      <c r="L929" s="45"/>
      <c r="M929" s="45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</row>
    <row r="930">
      <c r="A930" s="16" t="str">
        <f t="shared" si="14"/>
        <v/>
      </c>
      <c r="B930" s="16" t="str">
        <f t="shared" si="15"/>
        <v/>
      </c>
      <c r="C930" s="35" t="str">
        <f t="shared" si="16"/>
        <v/>
      </c>
      <c r="D930" s="35" t="str">
        <f t="shared" si="17"/>
        <v/>
      </c>
      <c r="E930" s="35" t="str">
        <f t="shared" si="18"/>
        <v/>
      </c>
      <c r="F930" s="35" t="str">
        <f t="shared" si="19"/>
        <v/>
      </c>
      <c r="G930" s="35" t="str">
        <f t="shared" si="20"/>
        <v/>
      </c>
      <c r="H930" s="49"/>
      <c r="I930" s="47" t="str">
        <f t="shared" si="21"/>
        <v/>
      </c>
      <c r="J930" s="50"/>
      <c r="K930" s="45" t="b">
        <v>0</v>
      </c>
      <c r="L930" s="45"/>
      <c r="M930" s="45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</row>
    <row r="931">
      <c r="A931" s="16" t="str">
        <f t="shared" si="14"/>
        <v/>
      </c>
      <c r="B931" s="16" t="str">
        <f t="shared" si="15"/>
        <v/>
      </c>
      <c r="C931" s="35" t="str">
        <f t="shared" si="16"/>
        <v/>
      </c>
      <c r="D931" s="35" t="str">
        <f t="shared" si="17"/>
        <v/>
      </c>
      <c r="E931" s="35" t="str">
        <f t="shared" si="18"/>
        <v/>
      </c>
      <c r="F931" s="35" t="str">
        <f t="shared" si="19"/>
        <v/>
      </c>
      <c r="G931" s="35" t="str">
        <f t="shared" si="20"/>
        <v/>
      </c>
      <c r="H931" s="49"/>
      <c r="I931" s="47" t="str">
        <f t="shared" si="21"/>
        <v/>
      </c>
      <c r="J931" s="50"/>
      <c r="K931" s="45" t="b">
        <v>0</v>
      </c>
      <c r="L931" s="45"/>
      <c r="M931" s="45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</row>
    <row r="932">
      <c r="A932" s="16" t="str">
        <f t="shared" si="14"/>
        <v/>
      </c>
      <c r="B932" s="16" t="str">
        <f t="shared" si="15"/>
        <v/>
      </c>
      <c r="C932" s="35" t="str">
        <f t="shared" si="16"/>
        <v/>
      </c>
      <c r="D932" s="35" t="str">
        <f t="shared" si="17"/>
        <v/>
      </c>
      <c r="E932" s="35" t="str">
        <f t="shared" si="18"/>
        <v/>
      </c>
      <c r="F932" s="35" t="str">
        <f t="shared" si="19"/>
        <v/>
      </c>
      <c r="G932" s="35" t="str">
        <f t="shared" si="20"/>
        <v/>
      </c>
      <c r="H932" s="49"/>
      <c r="I932" s="47" t="str">
        <f t="shared" si="21"/>
        <v/>
      </c>
      <c r="J932" s="50"/>
      <c r="K932" s="45" t="b">
        <v>0</v>
      </c>
      <c r="L932" s="45"/>
      <c r="M932" s="45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</row>
    <row r="933">
      <c r="A933" s="16" t="str">
        <f t="shared" si="14"/>
        <v/>
      </c>
      <c r="B933" s="16" t="str">
        <f t="shared" si="15"/>
        <v/>
      </c>
      <c r="C933" s="35" t="str">
        <f t="shared" si="16"/>
        <v/>
      </c>
      <c r="D933" s="35" t="str">
        <f t="shared" si="17"/>
        <v/>
      </c>
      <c r="E933" s="35" t="str">
        <f t="shared" si="18"/>
        <v/>
      </c>
      <c r="F933" s="35" t="str">
        <f t="shared" si="19"/>
        <v/>
      </c>
      <c r="G933" s="35" t="str">
        <f t="shared" si="20"/>
        <v/>
      </c>
      <c r="H933" s="49"/>
      <c r="I933" s="47" t="str">
        <f t="shared" si="21"/>
        <v/>
      </c>
      <c r="J933" s="50"/>
      <c r="K933" s="45" t="b">
        <v>0</v>
      </c>
      <c r="L933" s="45"/>
      <c r="M933" s="45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</row>
    <row r="934">
      <c r="A934" s="16" t="str">
        <f t="shared" si="14"/>
        <v/>
      </c>
      <c r="B934" s="16" t="str">
        <f t="shared" si="15"/>
        <v/>
      </c>
      <c r="C934" s="35" t="str">
        <f t="shared" si="16"/>
        <v/>
      </c>
      <c r="D934" s="35" t="str">
        <f t="shared" si="17"/>
        <v/>
      </c>
      <c r="E934" s="35" t="str">
        <f t="shared" si="18"/>
        <v/>
      </c>
      <c r="F934" s="35" t="str">
        <f t="shared" si="19"/>
        <v/>
      </c>
      <c r="G934" s="35" t="str">
        <f t="shared" si="20"/>
        <v/>
      </c>
      <c r="H934" s="49"/>
      <c r="I934" s="47" t="str">
        <f t="shared" si="21"/>
        <v/>
      </c>
      <c r="J934" s="50"/>
      <c r="K934" s="45" t="b">
        <v>0</v>
      </c>
      <c r="L934" s="45"/>
      <c r="M934" s="45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</row>
    <row r="935">
      <c r="A935" s="16" t="str">
        <f t="shared" si="14"/>
        <v/>
      </c>
      <c r="B935" s="16" t="str">
        <f t="shared" si="15"/>
        <v/>
      </c>
      <c r="C935" s="35" t="str">
        <f t="shared" si="16"/>
        <v/>
      </c>
      <c r="D935" s="35" t="str">
        <f t="shared" si="17"/>
        <v/>
      </c>
      <c r="E935" s="35" t="str">
        <f t="shared" si="18"/>
        <v/>
      </c>
      <c r="F935" s="35" t="str">
        <f t="shared" si="19"/>
        <v/>
      </c>
      <c r="G935" s="35" t="str">
        <f t="shared" si="20"/>
        <v/>
      </c>
      <c r="H935" s="49"/>
      <c r="I935" s="47" t="str">
        <f t="shared" si="21"/>
        <v/>
      </c>
      <c r="J935" s="50"/>
      <c r="K935" s="45" t="b">
        <v>0</v>
      </c>
      <c r="L935" s="45"/>
      <c r="M935" s="45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</row>
    <row r="936">
      <c r="A936" s="16" t="str">
        <f t="shared" si="14"/>
        <v/>
      </c>
      <c r="B936" s="16" t="str">
        <f t="shared" si="15"/>
        <v/>
      </c>
      <c r="C936" s="35" t="str">
        <f t="shared" si="16"/>
        <v/>
      </c>
      <c r="D936" s="35" t="str">
        <f t="shared" si="17"/>
        <v/>
      </c>
      <c r="E936" s="35" t="str">
        <f t="shared" si="18"/>
        <v/>
      </c>
      <c r="F936" s="35" t="str">
        <f t="shared" si="19"/>
        <v/>
      </c>
      <c r="G936" s="35" t="str">
        <f t="shared" si="20"/>
        <v/>
      </c>
      <c r="H936" s="49"/>
      <c r="I936" s="47" t="str">
        <f t="shared" si="21"/>
        <v/>
      </c>
      <c r="J936" s="50"/>
      <c r="K936" s="45" t="b">
        <v>0</v>
      </c>
      <c r="L936" s="45"/>
      <c r="M936" s="45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</row>
    <row r="937">
      <c r="A937" s="16" t="str">
        <f t="shared" si="14"/>
        <v/>
      </c>
      <c r="B937" s="16" t="str">
        <f t="shared" si="15"/>
        <v/>
      </c>
      <c r="C937" s="35" t="str">
        <f t="shared" si="16"/>
        <v/>
      </c>
      <c r="D937" s="35" t="str">
        <f t="shared" si="17"/>
        <v/>
      </c>
      <c r="E937" s="35" t="str">
        <f t="shared" si="18"/>
        <v/>
      </c>
      <c r="F937" s="35" t="str">
        <f t="shared" si="19"/>
        <v/>
      </c>
      <c r="G937" s="35" t="str">
        <f t="shared" si="20"/>
        <v/>
      </c>
      <c r="H937" s="49"/>
      <c r="I937" s="47" t="str">
        <f t="shared" si="21"/>
        <v/>
      </c>
      <c r="J937" s="50"/>
      <c r="K937" s="45" t="b">
        <v>0</v>
      </c>
      <c r="L937" s="45"/>
      <c r="M937" s="45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</row>
    <row r="938">
      <c r="A938" s="16" t="str">
        <f t="shared" si="14"/>
        <v/>
      </c>
      <c r="B938" s="16" t="str">
        <f t="shared" si="15"/>
        <v/>
      </c>
      <c r="C938" s="35" t="str">
        <f t="shared" si="16"/>
        <v/>
      </c>
      <c r="D938" s="35" t="str">
        <f t="shared" si="17"/>
        <v/>
      </c>
      <c r="E938" s="35" t="str">
        <f t="shared" si="18"/>
        <v/>
      </c>
      <c r="F938" s="35" t="str">
        <f t="shared" si="19"/>
        <v/>
      </c>
      <c r="G938" s="35" t="str">
        <f t="shared" si="20"/>
        <v/>
      </c>
      <c r="H938" s="49"/>
      <c r="I938" s="47" t="str">
        <f t="shared" si="21"/>
        <v/>
      </c>
      <c r="J938" s="50"/>
      <c r="K938" s="45" t="b">
        <v>0</v>
      </c>
      <c r="L938" s="45"/>
      <c r="M938" s="45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</row>
    <row r="939">
      <c r="A939" s="16" t="str">
        <f t="shared" si="14"/>
        <v/>
      </c>
      <c r="B939" s="16" t="str">
        <f t="shared" si="15"/>
        <v/>
      </c>
      <c r="C939" s="35" t="str">
        <f t="shared" si="16"/>
        <v/>
      </c>
      <c r="D939" s="35" t="str">
        <f t="shared" si="17"/>
        <v/>
      </c>
      <c r="E939" s="35" t="str">
        <f t="shared" si="18"/>
        <v/>
      </c>
      <c r="F939" s="35" t="str">
        <f t="shared" si="19"/>
        <v/>
      </c>
      <c r="G939" s="35" t="str">
        <f t="shared" si="20"/>
        <v/>
      </c>
      <c r="H939" s="49"/>
      <c r="I939" s="47" t="str">
        <f t="shared" si="21"/>
        <v/>
      </c>
      <c r="J939" s="50"/>
      <c r="K939" s="45" t="b">
        <v>0</v>
      </c>
      <c r="L939" s="45"/>
      <c r="M939" s="45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</row>
    <row r="940">
      <c r="A940" s="16" t="str">
        <f t="shared" si="14"/>
        <v/>
      </c>
      <c r="B940" s="16" t="str">
        <f t="shared" si="15"/>
        <v/>
      </c>
      <c r="C940" s="35" t="str">
        <f t="shared" si="16"/>
        <v/>
      </c>
      <c r="D940" s="35" t="str">
        <f t="shared" si="17"/>
        <v/>
      </c>
      <c r="E940" s="35" t="str">
        <f t="shared" si="18"/>
        <v/>
      </c>
      <c r="F940" s="35" t="str">
        <f t="shared" si="19"/>
        <v/>
      </c>
      <c r="G940" s="35" t="str">
        <f t="shared" si="20"/>
        <v/>
      </c>
      <c r="H940" s="49"/>
      <c r="I940" s="47" t="str">
        <f t="shared" si="21"/>
        <v/>
      </c>
      <c r="J940" s="50"/>
      <c r="K940" s="45" t="b">
        <v>0</v>
      </c>
      <c r="L940" s="45"/>
      <c r="M940" s="45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</row>
    <row r="941">
      <c r="A941" s="16" t="str">
        <f t="shared" si="14"/>
        <v/>
      </c>
      <c r="B941" s="16" t="str">
        <f t="shared" si="15"/>
        <v/>
      </c>
      <c r="C941" s="35" t="str">
        <f t="shared" si="16"/>
        <v/>
      </c>
      <c r="D941" s="35" t="str">
        <f t="shared" si="17"/>
        <v/>
      </c>
      <c r="E941" s="35" t="str">
        <f t="shared" si="18"/>
        <v/>
      </c>
      <c r="F941" s="35" t="str">
        <f t="shared" si="19"/>
        <v/>
      </c>
      <c r="G941" s="35" t="str">
        <f t="shared" si="20"/>
        <v/>
      </c>
      <c r="H941" s="49"/>
      <c r="I941" s="47" t="str">
        <f t="shared" si="21"/>
        <v/>
      </c>
      <c r="J941" s="50"/>
      <c r="K941" s="45" t="b">
        <v>0</v>
      </c>
      <c r="L941" s="45"/>
      <c r="M941" s="45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</row>
    <row r="942">
      <c r="A942" s="16" t="str">
        <f t="shared" si="14"/>
        <v/>
      </c>
      <c r="B942" s="16" t="str">
        <f t="shared" si="15"/>
        <v/>
      </c>
      <c r="C942" s="35" t="str">
        <f t="shared" si="16"/>
        <v/>
      </c>
      <c r="D942" s="35" t="str">
        <f t="shared" si="17"/>
        <v/>
      </c>
      <c r="E942" s="35" t="str">
        <f t="shared" si="18"/>
        <v/>
      </c>
      <c r="F942" s="35" t="str">
        <f t="shared" si="19"/>
        <v/>
      </c>
      <c r="G942" s="35" t="str">
        <f t="shared" si="20"/>
        <v/>
      </c>
      <c r="H942" s="49"/>
      <c r="I942" s="47" t="str">
        <f t="shared" si="21"/>
        <v/>
      </c>
      <c r="J942" s="50"/>
      <c r="K942" s="45" t="b">
        <v>0</v>
      </c>
      <c r="L942" s="45"/>
      <c r="M942" s="45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</row>
    <row r="943">
      <c r="A943" s="16" t="str">
        <f t="shared" si="14"/>
        <v/>
      </c>
      <c r="B943" s="16" t="str">
        <f t="shared" si="15"/>
        <v/>
      </c>
      <c r="C943" s="35" t="str">
        <f t="shared" si="16"/>
        <v/>
      </c>
      <c r="D943" s="35" t="str">
        <f t="shared" si="17"/>
        <v/>
      </c>
      <c r="E943" s="35" t="str">
        <f t="shared" si="18"/>
        <v/>
      </c>
      <c r="F943" s="35" t="str">
        <f t="shared" si="19"/>
        <v/>
      </c>
      <c r="G943" s="35" t="str">
        <f t="shared" si="20"/>
        <v/>
      </c>
      <c r="H943" s="49"/>
      <c r="I943" s="47" t="str">
        <f t="shared" si="21"/>
        <v/>
      </c>
      <c r="J943" s="50"/>
      <c r="K943" s="45" t="b">
        <v>0</v>
      </c>
      <c r="L943" s="45"/>
      <c r="M943" s="45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</row>
    <row r="944">
      <c r="A944" s="16" t="str">
        <f t="shared" si="14"/>
        <v/>
      </c>
      <c r="B944" s="16" t="str">
        <f t="shared" si="15"/>
        <v/>
      </c>
      <c r="C944" s="35" t="str">
        <f t="shared" si="16"/>
        <v/>
      </c>
      <c r="D944" s="35" t="str">
        <f t="shared" si="17"/>
        <v/>
      </c>
      <c r="E944" s="35" t="str">
        <f t="shared" si="18"/>
        <v/>
      </c>
      <c r="F944" s="35" t="str">
        <f t="shared" si="19"/>
        <v/>
      </c>
      <c r="G944" s="35" t="str">
        <f t="shared" si="20"/>
        <v/>
      </c>
      <c r="H944" s="49"/>
      <c r="I944" s="47" t="str">
        <f t="shared" si="21"/>
        <v/>
      </c>
      <c r="J944" s="50"/>
      <c r="K944" s="45" t="b">
        <v>0</v>
      </c>
      <c r="L944" s="45"/>
      <c r="M944" s="45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</row>
    <row r="945">
      <c r="A945" s="16" t="str">
        <f t="shared" si="14"/>
        <v/>
      </c>
      <c r="B945" s="16" t="str">
        <f t="shared" si="15"/>
        <v/>
      </c>
      <c r="C945" s="35" t="str">
        <f t="shared" si="16"/>
        <v/>
      </c>
      <c r="D945" s="35" t="str">
        <f t="shared" si="17"/>
        <v/>
      </c>
      <c r="E945" s="35" t="str">
        <f t="shared" si="18"/>
        <v/>
      </c>
      <c r="F945" s="35" t="str">
        <f t="shared" si="19"/>
        <v/>
      </c>
      <c r="G945" s="35" t="str">
        <f t="shared" si="20"/>
        <v/>
      </c>
      <c r="H945" s="49"/>
      <c r="I945" s="47" t="str">
        <f t="shared" si="21"/>
        <v/>
      </c>
      <c r="J945" s="50"/>
      <c r="K945" s="45" t="b">
        <v>0</v>
      </c>
      <c r="L945" s="45"/>
      <c r="M945" s="45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</row>
    <row r="946">
      <c r="A946" s="16" t="str">
        <f t="shared" si="14"/>
        <v/>
      </c>
      <c r="B946" s="16" t="str">
        <f t="shared" si="15"/>
        <v/>
      </c>
      <c r="C946" s="35" t="str">
        <f t="shared" si="16"/>
        <v/>
      </c>
      <c r="D946" s="35" t="str">
        <f t="shared" si="17"/>
        <v/>
      </c>
      <c r="E946" s="35" t="str">
        <f t="shared" si="18"/>
        <v/>
      </c>
      <c r="F946" s="35" t="str">
        <f t="shared" si="19"/>
        <v/>
      </c>
      <c r="G946" s="35" t="str">
        <f t="shared" si="20"/>
        <v/>
      </c>
      <c r="H946" s="49"/>
      <c r="I946" s="47" t="str">
        <f t="shared" si="21"/>
        <v/>
      </c>
      <c r="J946" s="50"/>
      <c r="K946" s="45" t="b">
        <v>0</v>
      </c>
      <c r="L946" s="45"/>
      <c r="M946" s="45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</row>
    <row r="947">
      <c r="A947" s="16" t="str">
        <f t="shared" si="14"/>
        <v/>
      </c>
      <c r="B947" s="16" t="str">
        <f t="shared" si="15"/>
        <v/>
      </c>
      <c r="C947" s="35" t="str">
        <f t="shared" si="16"/>
        <v/>
      </c>
      <c r="D947" s="35" t="str">
        <f t="shared" si="17"/>
        <v/>
      </c>
      <c r="E947" s="35" t="str">
        <f t="shared" si="18"/>
        <v/>
      </c>
      <c r="F947" s="35" t="str">
        <f t="shared" si="19"/>
        <v/>
      </c>
      <c r="G947" s="35" t="str">
        <f t="shared" si="20"/>
        <v/>
      </c>
      <c r="H947" s="49"/>
      <c r="I947" s="47" t="str">
        <f t="shared" si="21"/>
        <v/>
      </c>
      <c r="J947" s="50"/>
      <c r="K947" s="45" t="b">
        <v>0</v>
      </c>
      <c r="L947" s="45"/>
      <c r="M947" s="45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</row>
    <row r="948">
      <c r="A948" s="16" t="str">
        <f t="shared" si="14"/>
        <v/>
      </c>
      <c r="B948" s="16" t="str">
        <f t="shared" si="15"/>
        <v/>
      </c>
      <c r="C948" s="35" t="str">
        <f t="shared" si="16"/>
        <v/>
      </c>
      <c r="D948" s="35" t="str">
        <f t="shared" si="17"/>
        <v/>
      </c>
      <c r="E948" s="35" t="str">
        <f t="shared" si="18"/>
        <v/>
      </c>
      <c r="F948" s="35" t="str">
        <f t="shared" si="19"/>
        <v/>
      </c>
      <c r="G948" s="35" t="str">
        <f t="shared" si="20"/>
        <v/>
      </c>
      <c r="H948" s="49"/>
      <c r="I948" s="47" t="str">
        <f t="shared" si="21"/>
        <v/>
      </c>
      <c r="J948" s="50"/>
      <c r="K948" s="45" t="b">
        <v>0</v>
      </c>
      <c r="L948" s="45"/>
      <c r="M948" s="45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</row>
    <row r="949">
      <c r="A949" s="16" t="str">
        <f t="shared" si="14"/>
        <v/>
      </c>
      <c r="B949" s="16" t="str">
        <f t="shared" si="15"/>
        <v/>
      </c>
      <c r="C949" s="35" t="str">
        <f t="shared" si="16"/>
        <v/>
      </c>
      <c r="D949" s="35" t="str">
        <f t="shared" si="17"/>
        <v/>
      </c>
      <c r="E949" s="35" t="str">
        <f t="shared" si="18"/>
        <v/>
      </c>
      <c r="F949" s="35" t="str">
        <f t="shared" si="19"/>
        <v/>
      </c>
      <c r="G949" s="35" t="str">
        <f t="shared" si="20"/>
        <v/>
      </c>
      <c r="H949" s="49"/>
      <c r="I949" s="47" t="str">
        <f t="shared" si="21"/>
        <v/>
      </c>
      <c r="J949" s="50"/>
      <c r="K949" s="45" t="b">
        <v>0</v>
      </c>
      <c r="L949" s="45"/>
      <c r="M949" s="45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</row>
    <row r="950">
      <c r="A950" s="16" t="str">
        <f t="shared" si="14"/>
        <v/>
      </c>
      <c r="B950" s="16" t="str">
        <f t="shared" si="15"/>
        <v/>
      </c>
      <c r="C950" s="35" t="str">
        <f t="shared" si="16"/>
        <v/>
      </c>
      <c r="D950" s="35" t="str">
        <f t="shared" si="17"/>
        <v/>
      </c>
      <c r="E950" s="35" t="str">
        <f t="shared" si="18"/>
        <v/>
      </c>
      <c r="F950" s="35" t="str">
        <f t="shared" si="19"/>
        <v/>
      </c>
      <c r="G950" s="35" t="str">
        <f t="shared" si="20"/>
        <v/>
      </c>
      <c r="H950" s="49"/>
      <c r="I950" s="47" t="str">
        <f t="shared" si="21"/>
        <v/>
      </c>
      <c r="J950" s="50"/>
      <c r="K950" s="45" t="b">
        <v>0</v>
      </c>
      <c r="L950" s="45"/>
      <c r="M950" s="45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</row>
    <row r="951">
      <c r="A951" s="16" t="str">
        <f t="shared" si="14"/>
        <v/>
      </c>
      <c r="B951" s="16" t="str">
        <f t="shared" si="15"/>
        <v/>
      </c>
      <c r="C951" s="35" t="str">
        <f t="shared" si="16"/>
        <v/>
      </c>
      <c r="D951" s="35" t="str">
        <f t="shared" si="17"/>
        <v/>
      </c>
      <c r="E951" s="35" t="str">
        <f t="shared" si="18"/>
        <v/>
      </c>
      <c r="F951" s="35" t="str">
        <f t="shared" si="19"/>
        <v/>
      </c>
      <c r="G951" s="35" t="str">
        <f t="shared" si="20"/>
        <v/>
      </c>
      <c r="H951" s="49"/>
      <c r="I951" s="47" t="str">
        <f t="shared" si="21"/>
        <v/>
      </c>
      <c r="J951" s="50"/>
      <c r="K951" s="45" t="b">
        <v>0</v>
      </c>
      <c r="L951" s="45"/>
      <c r="M951" s="45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</row>
    <row r="952">
      <c r="A952" s="16" t="str">
        <f t="shared" si="14"/>
        <v/>
      </c>
      <c r="B952" s="16" t="str">
        <f t="shared" si="15"/>
        <v/>
      </c>
      <c r="C952" s="35" t="str">
        <f t="shared" si="16"/>
        <v/>
      </c>
      <c r="D952" s="35" t="str">
        <f t="shared" si="17"/>
        <v/>
      </c>
      <c r="E952" s="35" t="str">
        <f t="shared" si="18"/>
        <v/>
      </c>
      <c r="F952" s="35" t="str">
        <f t="shared" si="19"/>
        <v/>
      </c>
      <c r="G952" s="35" t="str">
        <f t="shared" si="20"/>
        <v/>
      </c>
      <c r="H952" s="49"/>
      <c r="I952" s="47" t="str">
        <f t="shared" si="21"/>
        <v/>
      </c>
      <c r="J952" s="50"/>
      <c r="K952" s="45" t="b">
        <v>0</v>
      </c>
      <c r="L952" s="45"/>
      <c r="M952" s="45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</row>
    <row r="953">
      <c r="A953" s="16" t="str">
        <f t="shared" si="14"/>
        <v/>
      </c>
      <c r="B953" s="16" t="str">
        <f t="shared" si="15"/>
        <v/>
      </c>
      <c r="C953" s="35" t="str">
        <f t="shared" si="16"/>
        <v/>
      </c>
      <c r="D953" s="35" t="str">
        <f t="shared" si="17"/>
        <v/>
      </c>
      <c r="E953" s="35" t="str">
        <f t="shared" si="18"/>
        <v/>
      </c>
      <c r="F953" s="35" t="str">
        <f t="shared" si="19"/>
        <v/>
      </c>
      <c r="G953" s="35" t="str">
        <f t="shared" si="20"/>
        <v/>
      </c>
      <c r="H953" s="49"/>
      <c r="I953" s="47" t="str">
        <f t="shared" si="21"/>
        <v/>
      </c>
      <c r="J953" s="50"/>
      <c r="K953" s="45" t="b">
        <v>0</v>
      </c>
      <c r="L953" s="45"/>
      <c r="M953" s="45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</row>
    <row r="954">
      <c r="A954" s="16" t="str">
        <f t="shared" si="14"/>
        <v/>
      </c>
      <c r="B954" s="16" t="str">
        <f t="shared" si="15"/>
        <v/>
      </c>
      <c r="C954" s="35" t="str">
        <f t="shared" si="16"/>
        <v/>
      </c>
      <c r="D954" s="35" t="str">
        <f t="shared" si="17"/>
        <v/>
      </c>
      <c r="E954" s="35" t="str">
        <f t="shared" si="18"/>
        <v/>
      </c>
      <c r="F954" s="35" t="str">
        <f t="shared" si="19"/>
        <v/>
      </c>
      <c r="G954" s="35" t="str">
        <f t="shared" si="20"/>
        <v/>
      </c>
      <c r="H954" s="49"/>
      <c r="I954" s="47" t="str">
        <f t="shared" si="21"/>
        <v/>
      </c>
      <c r="J954" s="50"/>
      <c r="K954" s="45" t="b">
        <v>0</v>
      </c>
      <c r="L954" s="45"/>
      <c r="M954" s="45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</row>
    <row r="955">
      <c r="A955" s="16" t="str">
        <f t="shared" si="14"/>
        <v/>
      </c>
      <c r="B955" s="16" t="str">
        <f t="shared" si="15"/>
        <v/>
      </c>
      <c r="C955" s="35" t="str">
        <f t="shared" si="16"/>
        <v/>
      </c>
      <c r="D955" s="35" t="str">
        <f t="shared" si="17"/>
        <v/>
      </c>
      <c r="E955" s="35" t="str">
        <f t="shared" si="18"/>
        <v/>
      </c>
      <c r="F955" s="35" t="str">
        <f t="shared" si="19"/>
        <v/>
      </c>
      <c r="G955" s="35" t="str">
        <f t="shared" si="20"/>
        <v/>
      </c>
      <c r="H955" s="49"/>
      <c r="I955" s="47" t="str">
        <f t="shared" si="21"/>
        <v/>
      </c>
      <c r="J955" s="50"/>
      <c r="K955" s="45" t="b">
        <v>0</v>
      </c>
      <c r="L955" s="45"/>
      <c r="M955" s="45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</row>
    <row r="956">
      <c r="A956" s="16" t="str">
        <f t="shared" si="14"/>
        <v/>
      </c>
      <c r="B956" s="16" t="str">
        <f t="shared" si="15"/>
        <v/>
      </c>
      <c r="C956" s="35" t="str">
        <f t="shared" si="16"/>
        <v/>
      </c>
      <c r="D956" s="35" t="str">
        <f t="shared" si="17"/>
        <v/>
      </c>
      <c r="E956" s="35" t="str">
        <f t="shared" si="18"/>
        <v/>
      </c>
      <c r="F956" s="35" t="str">
        <f t="shared" si="19"/>
        <v/>
      </c>
      <c r="G956" s="35" t="str">
        <f t="shared" si="20"/>
        <v/>
      </c>
      <c r="H956" s="49"/>
      <c r="I956" s="47" t="str">
        <f t="shared" si="21"/>
        <v/>
      </c>
      <c r="J956" s="50"/>
      <c r="K956" s="45" t="b">
        <v>0</v>
      </c>
      <c r="L956" s="45"/>
      <c r="M956" s="45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</row>
    <row r="957">
      <c r="A957" s="16" t="str">
        <f t="shared" si="14"/>
        <v/>
      </c>
      <c r="B957" s="16" t="str">
        <f t="shared" si="15"/>
        <v/>
      </c>
      <c r="C957" s="35" t="str">
        <f t="shared" si="16"/>
        <v/>
      </c>
      <c r="D957" s="35" t="str">
        <f t="shared" si="17"/>
        <v/>
      </c>
      <c r="E957" s="35" t="str">
        <f t="shared" si="18"/>
        <v/>
      </c>
      <c r="F957" s="35" t="str">
        <f t="shared" si="19"/>
        <v/>
      </c>
      <c r="G957" s="35" t="str">
        <f t="shared" si="20"/>
        <v/>
      </c>
      <c r="H957" s="49"/>
      <c r="I957" s="47" t="str">
        <f t="shared" si="21"/>
        <v/>
      </c>
      <c r="J957" s="50"/>
      <c r="K957" s="45" t="b">
        <v>0</v>
      </c>
      <c r="L957" s="45"/>
      <c r="M957" s="45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</row>
    <row r="958">
      <c r="A958" s="16" t="str">
        <f t="shared" si="14"/>
        <v/>
      </c>
      <c r="B958" s="16" t="str">
        <f t="shared" si="15"/>
        <v/>
      </c>
      <c r="C958" s="35" t="str">
        <f t="shared" si="16"/>
        <v/>
      </c>
      <c r="D958" s="35" t="str">
        <f t="shared" si="17"/>
        <v/>
      </c>
      <c r="E958" s="35" t="str">
        <f t="shared" si="18"/>
        <v/>
      </c>
      <c r="F958" s="35" t="str">
        <f t="shared" si="19"/>
        <v/>
      </c>
      <c r="G958" s="35" t="str">
        <f t="shared" si="20"/>
        <v/>
      </c>
      <c r="H958" s="49"/>
      <c r="I958" s="47" t="str">
        <f t="shared" si="21"/>
        <v/>
      </c>
      <c r="J958" s="50"/>
      <c r="K958" s="45" t="b">
        <v>0</v>
      </c>
      <c r="L958" s="45"/>
      <c r="M958" s="45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</row>
    <row r="959">
      <c r="A959" s="16" t="str">
        <f t="shared" si="14"/>
        <v/>
      </c>
      <c r="B959" s="16" t="str">
        <f t="shared" si="15"/>
        <v/>
      </c>
      <c r="C959" s="35" t="str">
        <f t="shared" si="16"/>
        <v/>
      </c>
      <c r="D959" s="35" t="str">
        <f t="shared" si="17"/>
        <v/>
      </c>
      <c r="E959" s="35" t="str">
        <f t="shared" si="18"/>
        <v/>
      </c>
      <c r="F959" s="35" t="str">
        <f t="shared" si="19"/>
        <v/>
      </c>
      <c r="G959" s="35" t="str">
        <f t="shared" si="20"/>
        <v/>
      </c>
      <c r="H959" s="49"/>
      <c r="I959" s="47" t="str">
        <f t="shared" si="21"/>
        <v/>
      </c>
      <c r="J959" s="50"/>
      <c r="K959" s="45" t="b">
        <v>0</v>
      </c>
      <c r="L959" s="45"/>
      <c r="M959" s="45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</row>
    <row r="960">
      <c r="A960" s="16" t="str">
        <f t="shared" si="14"/>
        <v/>
      </c>
      <c r="B960" s="16" t="str">
        <f t="shared" si="15"/>
        <v/>
      </c>
      <c r="C960" s="35" t="str">
        <f t="shared" si="16"/>
        <v/>
      </c>
      <c r="D960" s="35" t="str">
        <f t="shared" si="17"/>
        <v/>
      </c>
      <c r="E960" s="35" t="str">
        <f t="shared" si="18"/>
        <v/>
      </c>
      <c r="F960" s="35" t="str">
        <f t="shared" si="19"/>
        <v/>
      </c>
      <c r="G960" s="35" t="str">
        <f t="shared" si="20"/>
        <v/>
      </c>
      <c r="H960" s="49"/>
      <c r="I960" s="47" t="str">
        <f t="shared" si="21"/>
        <v/>
      </c>
      <c r="J960" s="50"/>
      <c r="K960" s="45" t="b">
        <v>0</v>
      </c>
      <c r="L960" s="45"/>
      <c r="M960" s="45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</row>
    <row r="961">
      <c r="A961" s="16" t="str">
        <f t="shared" si="14"/>
        <v/>
      </c>
      <c r="B961" s="16" t="str">
        <f t="shared" si="15"/>
        <v/>
      </c>
      <c r="C961" s="35" t="str">
        <f t="shared" si="16"/>
        <v/>
      </c>
      <c r="D961" s="35" t="str">
        <f t="shared" si="17"/>
        <v/>
      </c>
      <c r="E961" s="35" t="str">
        <f t="shared" si="18"/>
        <v/>
      </c>
      <c r="F961" s="35" t="str">
        <f t="shared" si="19"/>
        <v/>
      </c>
      <c r="G961" s="35" t="str">
        <f t="shared" si="20"/>
        <v/>
      </c>
      <c r="H961" s="49"/>
      <c r="I961" s="47" t="str">
        <f t="shared" si="21"/>
        <v/>
      </c>
      <c r="J961" s="50"/>
      <c r="K961" s="45" t="b">
        <v>0</v>
      </c>
      <c r="L961" s="45"/>
      <c r="M961" s="45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</row>
    <row r="962">
      <c r="A962" s="16" t="str">
        <f t="shared" si="14"/>
        <v/>
      </c>
      <c r="B962" s="16" t="str">
        <f t="shared" si="15"/>
        <v/>
      </c>
      <c r="C962" s="35" t="str">
        <f t="shared" si="16"/>
        <v/>
      </c>
      <c r="D962" s="35" t="str">
        <f t="shared" si="17"/>
        <v/>
      </c>
      <c r="E962" s="35" t="str">
        <f t="shared" si="18"/>
        <v/>
      </c>
      <c r="F962" s="35" t="str">
        <f t="shared" si="19"/>
        <v/>
      </c>
      <c r="G962" s="35" t="str">
        <f t="shared" si="20"/>
        <v/>
      </c>
      <c r="H962" s="49"/>
      <c r="I962" s="47" t="str">
        <f t="shared" si="21"/>
        <v/>
      </c>
      <c r="J962" s="50"/>
      <c r="K962" s="45" t="b">
        <v>0</v>
      </c>
      <c r="L962" s="45"/>
      <c r="M962" s="45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</row>
    <row r="963">
      <c r="A963" s="16" t="str">
        <f t="shared" si="14"/>
        <v/>
      </c>
      <c r="B963" s="16" t="str">
        <f t="shared" si="15"/>
        <v/>
      </c>
      <c r="C963" s="35" t="str">
        <f t="shared" si="16"/>
        <v/>
      </c>
      <c r="D963" s="35" t="str">
        <f t="shared" si="17"/>
        <v/>
      </c>
      <c r="E963" s="35" t="str">
        <f t="shared" si="18"/>
        <v/>
      </c>
      <c r="F963" s="35" t="str">
        <f t="shared" si="19"/>
        <v/>
      </c>
      <c r="G963" s="35" t="str">
        <f t="shared" si="20"/>
        <v/>
      </c>
      <c r="H963" s="49"/>
      <c r="I963" s="47" t="str">
        <f t="shared" si="21"/>
        <v/>
      </c>
      <c r="J963" s="50"/>
      <c r="K963" s="45" t="b">
        <v>0</v>
      </c>
      <c r="L963" s="45"/>
      <c r="M963" s="45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</row>
    <row r="964">
      <c r="A964" s="16" t="str">
        <f t="shared" si="14"/>
        <v/>
      </c>
      <c r="B964" s="16" t="str">
        <f t="shared" si="15"/>
        <v/>
      </c>
      <c r="C964" s="35" t="str">
        <f t="shared" si="16"/>
        <v/>
      </c>
      <c r="D964" s="35" t="str">
        <f t="shared" si="17"/>
        <v/>
      </c>
      <c r="E964" s="35" t="str">
        <f t="shared" si="18"/>
        <v/>
      </c>
      <c r="F964" s="35" t="str">
        <f t="shared" si="19"/>
        <v/>
      </c>
      <c r="G964" s="35" t="str">
        <f t="shared" si="20"/>
        <v/>
      </c>
      <c r="H964" s="49"/>
      <c r="I964" s="47" t="str">
        <f t="shared" si="21"/>
        <v/>
      </c>
      <c r="J964" s="50"/>
      <c r="K964" s="45" t="b">
        <v>0</v>
      </c>
      <c r="L964" s="45"/>
      <c r="M964" s="45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</row>
    <row r="965">
      <c r="A965" s="16" t="str">
        <f t="shared" si="14"/>
        <v/>
      </c>
      <c r="B965" s="16" t="str">
        <f t="shared" si="15"/>
        <v/>
      </c>
      <c r="C965" s="35" t="str">
        <f t="shared" si="16"/>
        <v/>
      </c>
      <c r="D965" s="35" t="str">
        <f t="shared" si="17"/>
        <v/>
      </c>
      <c r="E965" s="35" t="str">
        <f t="shared" si="18"/>
        <v/>
      </c>
      <c r="F965" s="35" t="str">
        <f t="shared" si="19"/>
        <v/>
      </c>
      <c r="G965" s="35" t="str">
        <f t="shared" si="20"/>
        <v/>
      </c>
      <c r="H965" s="49"/>
      <c r="I965" s="47" t="str">
        <f t="shared" si="21"/>
        <v/>
      </c>
      <c r="J965" s="50"/>
      <c r="K965" s="45" t="b">
        <v>0</v>
      </c>
      <c r="L965" s="45"/>
      <c r="M965" s="45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</row>
    <row r="966">
      <c r="A966" s="16" t="str">
        <f t="shared" si="14"/>
        <v/>
      </c>
      <c r="B966" s="16" t="str">
        <f t="shared" si="15"/>
        <v/>
      </c>
      <c r="C966" s="35" t="str">
        <f t="shared" si="16"/>
        <v/>
      </c>
      <c r="D966" s="35" t="str">
        <f t="shared" si="17"/>
        <v/>
      </c>
      <c r="E966" s="35" t="str">
        <f t="shared" si="18"/>
        <v/>
      </c>
      <c r="F966" s="35" t="str">
        <f t="shared" si="19"/>
        <v/>
      </c>
      <c r="G966" s="35" t="str">
        <f t="shared" si="20"/>
        <v/>
      </c>
      <c r="H966" s="49"/>
      <c r="I966" s="47" t="str">
        <f t="shared" si="21"/>
        <v/>
      </c>
      <c r="J966" s="50"/>
      <c r="K966" s="45" t="b">
        <v>0</v>
      </c>
      <c r="L966" s="45"/>
      <c r="M966" s="45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</row>
    <row r="967">
      <c r="A967" s="16" t="str">
        <f t="shared" si="14"/>
        <v/>
      </c>
      <c r="B967" s="16" t="str">
        <f t="shared" si="15"/>
        <v/>
      </c>
      <c r="C967" s="35" t="str">
        <f t="shared" si="16"/>
        <v/>
      </c>
      <c r="D967" s="35" t="str">
        <f t="shared" si="17"/>
        <v/>
      </c>
      <c r="E967" s="35" t="str">
        <f t="shared" si="18"/>
        <v/>
      </c>
      <c r="F967" s="35" t="str">
        <f t="shared" si="19"/>
        <v/>
      </c>
      <c r="G967" s="35" t="str">
        <f t="shared" si="20"/>
        <v/>
      </c>
      <c r="H967" s="49"/>
      <c r="I967" s="47" t="str">
        <f t="shared" si="21"/>
        <v/>
      </c>
      <c r="J967" s="50"/>
      <c r="K967" s="45" t="b">
        <v>0</v>
      </c>
      <c r="L967" s="45"/>
      <c r="M967" s="45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</row>
    <row r="968">
      <c r="A968" s="16" t="str">
        <f t="shared" si="14"/>
        <v/>
      </c>
      <c r="B968" s="16" t="str">
        <f t="shared" si="15"/>
        <v/>
      </c>
      <c r="C968" s="35" t="str">
        <f t="shared" si="16"/>
        <v/>
      </c>
      <c r="D968" s="35" t="str">
        <f t="shared" si="17"/>
        <v/>
      </c>
      <c r="E968" s="35" t="str">
        <f t="shared" si="18"/>
        <v/>
      </c>
      <c r="F968" s="35" t="str">
        <f t="shared" si="19"/>
        <v/>
      </c>
      <c r="G968" s="35" t="str">
        <f t="shared" si="20"/>
        <v/>
      </c>
      <c r="H968" s="49"/>
      <c r="I968" s="47" t="str">
        <f t="shared" si="21"/>
        <v/>
      </c>
      <c r="J968" s="50"/>
      <c r="K968" s="45" t="b">
        <v>0</v>
      </c>
      <c r="L968" s="45"/>
      <c r="M968" s="45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</row>
    <row r="969">
      <c r="A969" s="16" t="str">
        <f t="shared" si="14"/>
        <v/>
      </c>
      <c r="B969" s="16" t="str">
        <f t="shared" si="15"/>
        <v/>
      </c>
      <c r="C969" s="35" t="str">
        <f t="shared" si="16"/>
        <v/>
      </c>
      <c r="D969" s="35" t="str">
        <f t="shared" si="17"/>
        <v/>
      </c>
      <c r="E969" s="35" t="str">
        <f t="shared" si="18"/>
        <v/>
      </c>
      <c r="F969" s="35" t="str">
        <f t="shared" si="19"/>
        <v/>
      </c>
      <c r="G969" s="35" t="str">
        <f t="shared" si="20"/>
        <v/>
      </c>
      <c r="H969" s="49"/>
      <c r="I969" s="47" t="str">
        <f t="shared" si="21"/>
        <v/>
      </c>
      <c r="J969" s="50"/>
      <c r="K969" s="45" t="b">
        <v>0</v>
      </c>
      <c r="L969" s="45"/>
      <c r="M969" s="45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</row>
    <row r="970">
      <c r="A970" s="16" t="str">
        <f t="shared" si="14"/>
        <v/>
      </c>
      <c r="B970" s="16" t="str">
        <f t="shared" si="15"/>
        <v/>
      </c>
      <c r="C970" s="35" t="str">
        <f t="shared" si="16"/>
        <v/>
      </c>
      <c r="D970" s="35" t="str">
        <f t="shared" si="17"/>
        <v/>
      </c>
      <c r="E970" s="35" t="str">
        <f t="shared" si="18"/>
        <v/>
      </c>
      <c r="F970" s="35" t="str">
        <f t="shared" si="19"/>
        <v/>
      </c>
      <c r="G970" s="35" t="str">
        <f t="shared" si="20"/>
        <v/>
      </c>
      <c r="H970" s="49"/>
      <c r="I970" s="47" t="str">
        <f t="shared" si="21"/>
        <v/>
      </c>
      <c r="J970" s="50"/>
      <c r="K970" s="45" t="b">
        <v>0</v>
      </c>
      <c r="L970" s="45"/>
      <c r="M970" s="45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</row>
    <row r="971">
      <c r="A971" s="16" t="str">
        <f t="shared" si="14"/>
        <v/>
      </c>
      <c r="B971" s="16" t="str">
        <f t="shared" si="15"/>
        <v/>
      </c>
      <c r="C971" s="35" t="str">
        <f t="shared" si="16"/>
        <v/>
      </c>
      <c r="D971" s="35" t="str">
        <f t="shared" si="17"/>
        <v/>
      </c>
      <c r="E971" s="35" t="str">
        <f t="shared" si="18"/>
        <v/>
      </c>
      <c r="F971" s="35" t="str">
        <f t="shared" si="19"/>
        <v/>
      </c>
      <c r="G971" s="35" t="str">
        <f t="shared" si="20"/>
        <v/>
      </c>
      <c r="H971" s="49"/>
      <c r="I971" s="47" t="str">
        <f t="shared" si="21"/>
        <v/>
      </c>
      <c r="J971" s="50"/>
      <c r="K971" s="45" t="b">
        <v>0</v>
      </c>
      <c r="L971" s="45"/>
      <c r="M971" s="45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</row>
    <row r="972">
      <c r="A972" s="16" t="str">
        <f t="shared" si="14"/>
        <v/>
      </c>
      <c r="B972" s="16" t="str">
        <f t="shared" si="15"/>
        <v/>
      </c>
      <c r="C972" s="35" t="str">
        <f t="shared" si="16"/>
        <v/>
      </c>
      <c r="D972" s="35" t="str">
        <f t="shared" si="17"/>
        <v/>
      </c>
      <c r="E972" s="35" t="str">
        <f t="shared" si="18"/>
        <v/>
      </c>
      <c r="F972" s="35" t="str">
        <f t="shared" si="19"/>
        <v/>
      </c>
      <c r="G972" s="35" t="str">
        <f t="shared" si="20"/>
        <v/>
      </c>
      <c r="H972" s="49"/>
      <c r="I972" s="47" t="str">
        <f t="shared" si="21"/>
        <v/>
      </c>
      <c r="J972" s="50"/>
      <c r="K972" s="45" t="b">
        <v>0</v>
      </c>
      <c r="L972" s="45"/>
      <c r="M972" s="45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</row>
    <row r="973">
      <c r="A973" s="16" t="str">
        <f t="shared" si="14"/>
        <v/>
      </c>
      <c r="B973" s="16" t="str">
        <f t="shared" si="15"/>
        <v/>
      </c>
      <c r="C973" s="35" t="str">
        <f t="shared" si="16"/>
        <v/>
      </c>
      <c r="D973" s="35" t="str">
        <f t="shared" si="17"/>
        <v/>
      </c>
      <c r="E973" s="35" t="str">
        <f t="shared" si="18"/>
        <v/>
      </c>
      <c r="F973" s="35" t="str">
        <f t="shared" si="19"/>
        <v/>
      </c>
      <c r="G973" s="35" t="str">
        <f t="shared" si="20"/>
        <v/>
      </c>
      <c r="H973" s="49"/>
      <c r="I973" s="47" t="str">
        <f t="shared" si="21"/>
        <v/>
      </c>
      <c r="J973" s="50"/>
      <c r="K973" s="45" t="b">
        <v>0</v>
      </c>
      <c r="L973" s="45"/>
      <c r="M973" s="45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</row>
    <row r="974">
      <c r="A974" s="16" t="str">
        <f t="shared" si="14"/>
        <v/>
      </c>
      <c r="B974" s="16" t="str">
        <f t="shared" si="15"/>
        <v/>
      </c>
      <c r="C974" s="35" t="str">
        <f t="shared" si="16"/>
        <v/>
      </c>
      <c r="D974" s="35" t="str">
        <f t="shared" si="17"/>
        <v/>
      </c>
      <c r="E974" s="35" t="str">
        <f t="shared" si="18"/>
        <v/>
      </c>
      <c r="F974" s="35" t="str">
        <f t="shared" si="19"/>
        <v/>
      </c>
      <c r="G974" s="35" t="str">
        <f t="shared" si="20"/>
        <v/>
      </c>
      <c r="H974" s="49"/>
      <c r="I974" s="47" t="str">
        <f t="shared" si="21"/>
        <v/>
      </c>
      <c r="J974" s="50"/>
      <c r="K974" s="45" t="b">
        <v>0</v>
      </c>
      <c r="L974" s="45"/>
      <c r="M974" s="45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</row>
    <row r="975">
      <c r="A975" s="16" t="str">
        <f t="shared" si="14"/>
        <v/>
      </c>
      <c r="B975" s="16" t="str">
        <f t="shared" si="15"/>
        <v/>
      </c>
      <c r="C975" s="35" t="str">
        <f t="shared" si="16"/>
        <v/>
      </c>
      <c r="D975" s="35" t="str">
        <f t="shared" si="17"/>
        <v/>
      </c>
      <c r="E975" s="35" t="str">
        <f t="shared" si="18"/>
        <v/>
      </c>
      <c r="F975" s="35" t="str">
        <f t="shared" si="19"/>
        <v/>
      </c>
      <c r="G975" s="35" t="str">
        <f t="shared" si="20"/>
        <v/>
      </c>
      <c r="H975" s="49"/>
      <c r="I975" s="47" t="str">
        <f t="shared" si="21"/>
        <v/>
      </c>
      <c r="J975" s="50"/>
      <c r="K975" s="45" t="b">
        <v>0</v>
      </c>
      <c r="L975" s="45"/>
      <c r="M975" s="45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</row>
    <row r="976">
      <c r="A976" s="16" t="str">
        <f t="shared" si="14"/>
        <v/>
      </c>
      <c r="B976" s="16" t="str">
        <f t="shared" si="15"/>
        <v/>
      </c>
      <c r="C976" s="35" t="str">
        <f t="shared" si="16"/>
        <v/>
      </c>
      <c r="D976" s="35" t="str">
        <f t="shared" si="17"/>
        <v/>
      </c>
      <c r="E976" s="35" t="str">
        <f t="shared" si="18"/>
        <v/>
      </c>
      <c r="F976" s="35" t="str">
        <f t="shared" si="19"/>
        <v/>
      </c>
      <c r="G976" s="35" t="str">
        <f t="shared" si="20"/>
        <v/>
      </c>
      <c r="H976" s="49"/>
      <c r="I976" s="47" t="str">
        <f t="shared" si="21"/>
        <v/>
      </c>
      <c r="J976" s="50"/>
      <c r="K976" s="45" t="b">
        <v>0</v>
      </c>
      <c r="L976" s="45"/>
      <c r="M976" s="45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</row>
    <row r="977">
      <c r="A977" s="16" t="str">
        <f t="shared" si="14"/>
        <v/>
      </c>
      <c r="B977" s="16" t="str">
        <f t="shared" si="15"/>
        <v/>
      </c>
      <c r="C977" s="35" t="str">
        <f t="shared" si="16"/>
        <v/>
      </c>
      <c r="D977" s="35" t="str">
        <f t="shared" si="17"/>
        <v/>
      </c>
      <c r="E977" s="35" t="str">
        <f t="shared" si="18"/>
        <v/>
      </c>
      <c r="F977" s="35" t="str">
        <f t="shared" si="19"/>
        <v/>
      </c>
      <c r="G977" s="35" t="str">
        <f t="shared" si="20"/>
        <v/>
      </c>
      <c r="H977" s="49"/>
      <c r="I977" s="47" t="str">
        <f t="shared" si="21"/>
        <v/>
      </c>
      <c r="J977" s="50"/>
      <c r="K977" s="45" t="b">
        <v>0</v>
      </c>
      <c r="L977" s="45"/>
      <c r="M977" s="45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</row>
    <row r="978">
      <c r="A978" s="16" t="str">
        <f t="shared" si="14"/>
        <v/>
      </c>
      <c r="B978" s="16" t="str">
        <f t="shared" si="15"/>
        <v/>
      </c>
      <c r="C978" s="35" t="str">
        <f t="shared" si="16"/>
        <v/>
      </c>
      <c r="D978" s="35" t="str">
        <f t="shared" si="17"/>
        <v/>
      </c>
      <c r="E978" s="35" t="str">
        <f t="shared" si="18"/>
        <v/>
      </c>
      <c r="F978" s="35" t="str">
        <f t="shared" si="19"/>
        <v/>
      </c>
      <c r="G978" s="35" t="str">
        <f t="shared" si="20"/>
        <v/>
      </c>
      <c r="H978" s="49"/>
      <c r="I978" s="47" t="str">
        <f t="shared" si="21"/>
        <v/>
      </c>
      <c r="J978" s="50"/>
      <c r="K978" s="45" t="b">
        <v>0</v>
      </c>
      <c r="L978" s="45"/>
      <c r="M978" s="45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</row>
    <row r="979">
      <c r="A979" s="16" t="str">
        <f t="shared" si="14"/>
        <v/>
      </c>
      <c r="B979" s="16" t="str">
        <f t="shared" si="15"/>
        <v/>
      </c>
      <c r="C979" s="35" t="str">
        <f t="shared" si="16"/>
        <v/>
      </c>
      <c r="D979" s="35" t="str">
        <f t="shared" si="17"/>
        <v/>
      </c>
      <c r="E979" s="35" t="str">
        <f t="shared" si="18"/>
        <v/>
      </c>
      <c r="F979" s="35" t="str">
        <f t="shared" si="19"/>
        <v/>
      </c>
      <c r="G979" s="35" t="str">
        <f t="shared" si="20"/>
        <v/>
      </c>
      <c r="H979" s="49"/>
      <c r="I979" s="47" t="str">
        <f t="shared" si="21"/>
        <v/>
      </c>
      <c r="J979" s="50"/>
      <c r="K979" s="45" t="b">
        <v>0</v>
      </c>
      <c r="L979" s="45"/>
      <c r="M979" s="45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</row>
    <row r="980">
      <c r="A980" s="16" t="str">
        <f t="shared" si="14"/>
        <v/>
      </c>
      <c r="B980" s="16" t="str">
        <f t="shared" si="15"/>
        <v/>
      </c>
      <c r="C980" s="35" t="str">
        <f t="shared" si="16"/>
        <v/>
      </c>
      <c r="D980" s="35" t="str">
        <f t="shared" si="17"/>
        <v/>
      </c>
      <c r="E980" s="35" t="str">
        <f t="shared" si="18"/>
        <v/>
      </c>
      <c r="F980" s="35" t="str">
        <f t="shared" si="19"/>
        <v/>
      </c>
      <c r="G980" s="35" t="str">
        <f t="shared" si="20"/>
        <v/>
      </c>
      <c r="H980" s="49"/>
      <c r="I980" s="47" t="str">
        <f t="shared" si="21"/>
        <v/>
      </c>
      <c r="J980" s="50"/>
      <c r="K980" s="45" t="b">
        <v>0</v>
      </c>
      <c r="L980" s="45"/>
      <c r="M980" s="45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</row>
    <row r="981">
      <c r="A981" s="16" t="str">
        <f t="shared" si="14"/>
        <v/>
      </c>
      <c r="B981" s="16" t="str">
        <f t="shared" si="15"/>
        <v/>
      </c>
      <c r="C981" s="35" t="str">
        <f t="shared" si="16"/>
        <v/>
      </c>
      <c r="D981" s="35" t="str">
        <f t="shared" si="17"/>
        <v/>
      </c>
      <c r="E981" s="35" t="str">
        <f t="shared" si="18"/>
        <v/>
      </c>
      <c r="F981" s="35" t="str">
        <f t="shared" si="19"/>
        <v/>
      </c>
      <c r="G981" s="35" t="str">
        <f t="shared" si="20"/>
        <v/>
      </c>
      <c r="H981" s="49"/>
      <c r="I981" s="47" t="str">
        <f t="shared" si="21"/>
        <v/>
      </c>
      <c r="J981" s="50"/>
      <c r="K981" s="45" t="b">
        <v>0</v>
      </c>
      <c r="L981" s="45"/>
      <c r="M981" s="45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</row>
    <row r="982">
      <c r="A982" s="16" t="str">
        <f t="shared" si="14"/>
        <v/>
      </c>
      <c r="B982" s="16" t="str">
        <f t="shared" si="15"/>
        <v/>
      </c>
      <c r="C982" s="35" t="str">
        <f t="shared" si="16"/>
        <v/>
      </c>
      <c r="D982" s="35" t="str">
        <f t="shared" si="17"/>
        <v/>
      </c>
      <c r="E982" s="35" t="str">
        <f t="shared" si="18"/>
        <v/>
      </c>
      <c r="F982" s="35" t="str">
        <f t="shared" si="19"/>
        <v/>
      </c>
      <c r="G982" s="35" t="str">
        <f t="shared" si="20"/>
        <v/>
      </c>
      <c r="H982" s="49"/>
      <c r="I982" s="47" t="str">
        <f t="shared" si="21"/>
        <v/>
      </c>
      <c r="J982" s="50"/>
      <c r="K982" s="45" t="b">
        <v>0</v>
      </c>
      <c r="L982" s="45"/>
      <c r="M982" s="45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</row>
    <row r="983">
      <c r="A983" s="16" t="str">
        <f t="shared" si="14"/>
        <v/>
      </c>
      <c r="B983" s="16" t="str">
        <f t="shared" si="15"/>
        <v/>
      </c>
      <c r="C983" s="35" t="str">
        <f t="shared" si="16"/>
        <v/>
      </c>
      <c r="D983" s="35" t="str">
        <f t="shared" si="17"/>
        <v/>
      </c>
      <c r="E983" s="35" t="str">
        <f t="shared" si="18"/>
        <v/>
      </c>
      <c r="F983" s="35" t="str">
        <f t="shared" si="19"/>
        <v/>
      </c>
      <c r="G983" s="35" t="str">
        <f t="shared" si="20"/>
        <v/>
      </c>
      <c r="H983" s="49"/>
      <c r="I983" s="47" t="str">
        <f t="shared" si="21"/>
        <v/>
      </c>
      <c r="J983" s="50"/>
      <c r="K983" s="45" t="b">
        <v>0</v>
      </c>
      <c r="L983" s="45"/>
      <c r="M983" s="45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</row>
    <row r="984">
      <c r="A984" s="16" t="str">
        <f t="shared" si="14"/>
        <v/>
      </c>
      <c r="B984" s="16" t="str">
        <f t="shared" si="15"/>
        <v/>
      </c>
      <c r="C984" s="35" t="str">
        <f t="shared" si="16"/>
        <v/>
      </c>
      <c r="D984" s="35" t="str">
        <f t="shared" si="17"/>
        <v/>
      </c>
      <c r="E984" s="35" t="str">
        <f t="shared" si="18"/>
        <v/>
      </c>
      <c r="F984" s="35" t="str">
        <f t="shared" si="19"/>
        <v/>
      </c>
      <c r="G984" s="35" t="str">
        <f t="shared" si="20"/>
        <v/>
      </c>
      <c r="H984" s="49"/>
      <c r="I984" s="47" t="str">
        <f t="shared" si="21"/>
        <v/>
      </c>
      <c r="J984" s="50"/>
      <c r="K984" s="45" t="b">
        <v>0</v>
      </c>
      <c r="L984" s="45"/>
      <c r="M984" s="45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</row>
    <row r="985">
      <c r="A985" s="16" t="str">
        <f t="shared" si="14"/>
        <v/>
      </c>
      <c r="B985" s="16" t="str">
        <f t="shared" si="15"/>
        <v/>
      </c>
      <c r="C985" s="35" t="str">
        <f t="shared" si="16"/>
        <v/>
      </c>
      <c r="D985" s="35" t="str">
        <f t="shared" si="17"/>
        <v/>
      </c>
      <c r="E985" s="35" t="str">
        <f t="shared" si="18"/>
        <v/>
      </c>
      <c r="F985" s="35" t="str">
        <f t="shared" si="19"/>
        <v/>
      </c>
      <c r="G985" s="35" t="str">
        <f t="shared" si="20"/>
        <v/>
      </c>
      <c r="H985" s="49"/>
      <c r="I985" s="47" t="str">
        <f t="shared" si="21"/>
        <v/>
      </c>
      <c r="J985" s="50"/>
      <c r="K985" s="45" t="b">
        <v>0</v>
      </c>
      <c r="L985" s="45"/>
      <c r="M985" s="45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</row>
    <row r="986">
      <c r="A986" s="16" t="str">
        <f t="shared" si="14"/>
        <v/>
      </c>
      <c r="B986" s="16" t="str">
        <f t="shared" si="15"/>
        <v/>
      </c>
      <c r="C986" s="35" t="str">
        <f t="shared" si="16"/>
        <v/>
      </c>
      <c r="D986" s="35" t="str">
        <f t="shared" si="17"/>
        <v/>
      </c>
      <c r="E986" s="35" t="str">
        <f t="shared" si="18"/>
        <v/>
      </c>
      <c r="F986" s="35" t="str">
        <f t="shared" si="19"/>
        <v/>
      </c>
      <c r="G986" s="35" t="str">
        <f t="shared" si="20"/>
        <v/>
      </c>
      <c r="H986" s="49"/>
      <c r="I986" s="47" t="str">
        <f t="shared" si="21"/>
        <v/>
      </c>
      <c r="J986" s="50"/>
      <c r="K986" s="45" t="b">
        <v>0</v>
      </c>
      <c r="L986" s="45"/>
      <c r="M986" s="45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</row>
    <row r="987">
      <c r="A987" s="16" t="str">
        <f t="shared" si="14"/>
        <v/>
      </c>
      <c r="B987" s="16" t="str">
        <f t="shared" si="15"/>
        <v/>
      </c>
      <c r="C987" s="35" t="str">
        <f t="shared" si="16"/>
        <v/>
      </c>
      <c r="D987" s="35" t="str">
        <f t="shared" si="17"/>
        <v/>
      </c>
      <c r="E987" s="35" t="str">
        <f t="shared" si="18"/>
        <v/>
      </c>
      <c r="F987" s="35" t="str">
        <f t="shared" si="19"/>
        <v/>
      </c>
      <c r="G987" s="35" t="str">
        <f t="shared" si="20"/>
        <v/>
      </c>
      <c r="H987" s="49"/>
      <c r="I987" s="47" t="str">
        <f t="shared" si="21"/>
        <v/>
      </c>
      <c r="J987" s="50"/>
      <c r="K987" s="45" t="b">
        <v>0</v>
      </c>
      <c r="L987" s="45"/>
      <c r="M987" s="45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</row>
    <row r="988">
      <c r="A988" s="16" t="str">
        <f t="shared" si="14"/>
        <v/>
      </c>
      <c r="B988" s="16" t="str">
        <f t="shared" si="15"/>
        <v/>
      </c>
      <c r="C988" s="35" t="str">
        <f t="shared" si="16"/>
        <v/>
      </c>
      <c r="D988" s="35" t="str">
        <f t="shared" si="17"/>
        <v/>
      </c>
      <c r="E988" s="35" t="str">
        <f t="shared" si="18"/>
        <v/>
      </c>
      <c r="F988" s="35" t="str">
        <f t="shared" si="19"/>
        <v/>
      </c>
      <c r="G988" s="35" t="str">
        <f t="shared" si="20"/>
        <v/>
      </c>
      <c r="H988" s="49"/>
      <c r="I988" s="47" t="str">
        <f t="shared" si="21"/>
        <v/>
      </c>
      <c r="J988" s="50"/>
      <c r="K988" s="45" t="b">
        <v>0</v>
      </c>
      <c r="L988" s="45"/>
      <c r="M988" s="45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</row>
    <row r="989">
      <c r="A989" s="16" t="str">
        <f t="shared" si="14"/>
        <v/>
      </c>
      <c r="B989" s="16" t="str">
        <f t="shared" si="15"/>
        <v/>
      </c>
      <c r="C989" s="35" t="str">
        <f t="shared" si="16"/>
        <v/>
      </c>
      <c r="D989" s="35" t="str">
        <f t="shared" si="17"/>
        <v/>
      </c>
      <c r="E989" s="35" t="str">
        <f t="shared" si="18"/>
        <v/>
      </c>
      <c r="F989" s="35" t="str">
        <f t="shared" si="19"/>
        <v/>
      </c>
      <c r="G989" s="35" t="str">
        <f t="shared" si="20"/>
        <v/>
      </c>
      <c r="H989" s="49"/>
      <c r="I989" s="47" t="str">
        <f t="shared" si="21"/>
        <v/>
      </c>
      <c r="J989" s="50"/>
      <c r="K989" s="45" t="b">
        <v>0</v>
      </c>
      <c r="L989" s="45"/>
      <c r="M989" s="45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</row>
    <row r="990">
      <c r="A990" s="16" t="str">
        <f t="shared" si="14"/>
        <v/>
      </c>
      <c r="B990" s="16" t="str">
        <f t="shared" si="15"/>
        <v/>
      </c>
      <c r="C990" s="35" t="str">
        <f t="shared" si="16"/>
        <v/>
      </c>
      <c r="D990" s="35" t="str">
        <f t="shared" si="17"/>
        <v/>
      </c>
      <c r="E990" s="35" t="str">
        <f t="shared" si="18"/>
        <v/>
      </c>
      <c r="F990" s="35" t="str">
        <f t="shared" si="19"/>
        <v/>
      </c>
      <c r="G990" s="35" t="str">
        <f t="shared" si="20"/>
        <v/>
      </c>
      <c r="H990" s="49"/>
      <c r="I990" s="47" t="str">
        <f t="shared" si="21"/>
        <v/>
      </c>
      <c r="J990" s="50"/>
      <c r="K990" s="45" t="b">
        <v>0</v>
      </c>
      <c r="L990" s="45"/>
      <c r="M990" s="45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</row>
    <row r="991">
      <c r="A991" s="16" t="str">
        <f t="shared" si="14"/>
        <v/>
      </c>
      <c r="B991" s="16" t="str">
        <f t="shared" si="15"/>
        <v/>
      </c>
      <c r="C991" s="35" t="str">
        <f t="shared" si="16"/>
        <v/>
      </c>
      <c r="D991" s="35" t="str">
        <f t="shared" si="17"/>
        <v/>
      </c>
      <c r="E991" s="35" t="str">
        <f t="shared" si="18"/>
        <v/>
      </c>
      <c r="F991" s="35" t="str">
        <f t="shared" si="19"/>
        <v/>
      </c>
      <c r="G991" s="35" t="str">
        <f t="shared" si="20"/>
        <v/>
      </c>
      <c r="H991" s="49"/>
      <c r="I991" s="47" t="str">
        <f t="shared" si="21"/>
        <v/>
      </c>
      <c r="J991" s="50"/>
      <c r="K991" s="45" t="b">
        <v>0</v>
      </c>
      <c r="L991" s="45"/>
      <c r="M991" s="45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</row>
    <row r="992">
      <c r="A992" s="16" t="str">
        <f t="shared" si="14"/>
        <v/>
      </c>
      <c r="B992" s="16" t="str">
        <f t="shared" si="15"/>
        <v/>
      </c>
      <c r="C992" s="35" t="str">
        <f t="shared" si="16"/>
        <v/>
      </c>
      <c r="D992" s="35" t="str">
        <f t="shared" si="17"/>
        <v/>
      </c>
      <c r="E992" s="35" t="str">
        <f t="shared" si="18"/>
        <v/>
      </c>
      <c r="F992" s="35" t="str">
        <f t="shared" si="19"/>
        <v/>
      </c>
      <c r="G992" s="35" t="str">
        <f t="shared" si="20"/>
        <v/>
      </c>
      <c r="H992" s="49"/>
      <c r="I992" s="47" t="str">
        <f t="shared" si="21"/>
        <v/>
      </c>
      <c r="J992" s="50"/>
      <c r="K992" s="45" t="b">
        <v>0</v>
      </c>
      <c r="L992" s="45"/>
      <c r="M992" s="45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</row>
    <row r="993">
      <c r="A993" s="16" t="str">
        <f t="shared" si="14"/>
        <v/>
      </c>
      <c r="B993" s="16" t="str">
        <f t="shared" si="15"/>
        <v/>
      </c>
      <c r="C993" s="35" t="str">
        <f t="shared" si="16"/>
        <v/>
      </c>
      <c r="D993" s="35" t="str">
        <f t="shared" si="17"/>
        <v/>
      </c>
      <c r="E993" s="35" t="str">
        <f t="shared" si="18"/>
        <v/>
      </c>
      <c r="F993" s="35" t="str">
        <f t="shared" si="19"/>
        <v/>
      </c>
      <c r="G993" s="35" t="str">
        <f t="shared" si="20"/>
        <v/>
      </c>
      <c r="H993" s="49"/>
      <c r="I993" s="47" t="str">
        <f t="shared" si="21"/>
        <v/>
      </c>
      <c r="J993" s="50"/>
      <c r="K993" s="45" t="b">
        <v>0</v>
      </c>
      <c r="L993" s="45"/>
      <c r="M993" s="45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</row>
    <row r="994">
      <c r="A994" s="16" t="str">
        <f t="shared" si="14"/>
        <v/>
      </c>
      <c r="B994" s="16" t="str">
        <f t="shared" si="15"/>
        <v/>
      </c>
      <c r="C994" s="35" t="str">
        <f t="shared" si="16"/>
        <v/>
      </c>
      <c r="D994" s="35" t="str">
        <f t="shared" si="17"/>
        <v/>
      </c>
      <c r="E994" s="35" t="str">
        <f t="shared" si="18"/>
        <v/>
      </c>
      <c r="F994" s="35" t="str">
        <f t="shared" si="19"/>
        <v/>
      </c>
      <c r="G994" s="35" t="str">
        <f t="shared" si="20"/>
        <v/>
      </c>
      <c r="H994" s="49"/>
      <c r="I994" s="47" t="str">
        <f t="shared" si="21"/>
        <v/>
      </c>
      <c r="J994" s="50"/>
      <c r="K994" s="45" t="b">
        <v>0</v>
      </c>
      <c r="L994" s="45"/>
      <c r="M994" s="45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</row>
    <row r="995">
      <c r="A995" s="16" t="str">
        <f t="shared" si="14"/>
        <v/>
      </c>
      <c r="B995" s="16" t="str">
        <f t="shared" si="15"/>
        <v/>
      </c>
      <c r="C995" s="35" t="str">
        <f t="shared" si="16"/>
        <v/>
      </c>
      <c r="D995" s="35" t="str">
        <f t="shared" si="17"/>
        <v/>
      </c>
      <c r="E995" s="35" t="str">
        <f t="shared" si="18"/>
        <v/>
      </c>
      <c r="F995" s="35" t="str">
        <f t="shared" si="19"/>
        <v/>
      </c>
      <c r="G995" s="35" t="str">
        <f t="shared" si="20"/>
        <v/>
      </c>
      <c r="H995" s="49"/>
      <c r="I995" s="47" t="str">
        <f t="shared" si="21"/>
        <v/>
      </c>
      <c r="J995" s="50"/>
      <c r="K995" s="45" t="b">
        <v>0</v>
      </c>
      <c r="L995" s="45"/>
      <c r="M995" s="45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</row>
    <row r="996">
      <c r="A996" s="16" t="str">
        <f t="shared" si="14"/>
        <v/>
      </c>
      <c r="B996" s="16" t="str">
        <f t="shared" si="15"/>
        <v/>
      </c>
      <c r="C996" s="35" t="str">
        <f t="shared" si="16"/>
        <v/>
      </c>
      <c r="D996" s="35" t="str">
        <f t="shared" si="17"/>
        <v/>
      </c>
      <c r="E996" s="35" t="str">
        <f t="shared" si="18"/>
        <v/>
      </c>
      <c r="F996" s="35" t="str">
        <f t="shared" si="19"/>
        <v/>
      </c>
      <c r="G996" s="35" t="str">
        <f t="shared" si="20"/>
        <v/>
      </c>
      <c r="H996" s="49"/>
      <c r="I996" s="47" t="str">
        <f t="shared" si="21"/>
        <v/>
      </c>
      <c r="J996" s="50"/>
      <c r="K996" s="45" t="b">
        <v>0</v>
      </c>
      <c r="L996" s="45"/>
      <c r="M996" s="45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</row>
    <row r="997">
      <c r="A997" s="16" t="str">
        <f t="shared" si="14"/>
        <v/>
      </c>
      <c r="B997" s="16" t="str">
        <f t="shared" si="15"/>
        <v/>
      </c>
      <c r="C997" s="35" t="str">
        <f t="shared" si="16"/>
        <v/>
      </c>
      <c r="D997" s="35" t="str">
        <f t="shared" si="17"/>
        <v/>
      </c>
      <c r="E997" s="35" t="str">
        <f t="shared" si="18"/>
        <v/>
      </c>
      <c r="F997" s="35" t="str">
        <f t="shared" si="19"/>
        <v/>
      </c>
      <c r="G997" s="35" t="str">
        <f t="shared" si="20"/>
        <v/>
      </c>
      <c r="H997" s="49"/>
      <c r="I997" s="47" t="str">
        <f t="shared" si="21"/>
        <v/>
      </c>
      <c r="J997" s="50"/>
      <c r="K997" s="45" t="b">
        <v>0</v>
      </c>
      <c r="L997" s="45"/>
      <c r="M997" s="45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</row>
    <row r="998">
      <c r="A998" s="16" t="str">
        <f t="shared" si="14"/>
        <v/>
      </c>
      <c r="B998" s="16" t="str">
        <f t="shared" si="15"/>
        <v/>
      </c>
      <c r="C998" s="35" t="str">
        <f t="shared" si="16"/>
        <v/>
      </c>
      <c r="D998" s="35" t="str">
        <f t="shared" si="17"/>
        <v/>
      </c>
      <c r="E998" s="35" t="str">
        <f t="shared" si="18"/>
        <v/>
      </c>
      <c r="F998" s="35" t="str">
        <f t="shared" si="19"/>
        <v/>
      </c>
      <c r="G998" s="35" t="str">
        <f t="shared" si="20"/>
        <v/>
      </c>
      <c r="H998" s="49"/>
      <c r="I998" s="47" t="str">
        <f t="shared" si="21"/>
        <v/>
      </c>
      <c r="J998" s="50"/>
      <c r="K998" s="45" t="b">
        <v>0</v>
      </c>
      <c r="L998" s="45"/>
      <c r="M998" s="45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</row>
    <row r="999">
      <c r="A999" s="16" t="str">
        <f t="shared" si="14"/>
        <v/>
      </c>
      <c r="B999" s="16" t="str">
        <f t="shared" si="15"/>
        <v/>
      </c>
      <c r="C999" s="35" t="str">
        <f t="shared" si="16"/>
        <v/>
      </c>
      <c r="D999" s="35" t="str">
        <f t="shared" si="17"/>
        <v/>
      </c>
      <c r="E999" s="35" t="str">
        <f t="shared" si="18"/>
        <v/>
      </c>
      <c r="F999" s="35" t="str">
        <f t="shared" si="19"/>
        <v/>
      </c>
      <c r="G999" s="35" t="str">
        <f t="shared" si="20"/>
        <v/>
      </c>
      <c r="H999" s="49"/>
      <c r="I999" s="47" t="str">
        <f t="shared" si="21"/>
        <v/>
      </c>
      <c r="J999" s="50"/>
      <c r="K999" s="45" t="b">
        <v>0</v>
      </c>
      <c r="L999" s="45"/>
      <c r="M999" s="45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</row>
    <row r="1000">
      <c r="A1000" s="16" t="str">
        <f t="shared" si="14"/>
        <v/>
      </c>
      <c r="B1000" s="16" t="str">
        <f t="shared" si="15"/>
        <v/>
      </c>
      <c r="C1000" s="35" t="str">
        <f t="shared" si="16"/>
        <v/>
      </c>
      <c r="D1000" s="35" t="str">
        <f t="shared" si="17"/>
        <v/>
      </c>
      <c r="E1000" s="35" t="str">
        <f t="shared" si="18"/>
        <v/>
      </c>
      <c r="F1000" s="35" t="str">
        <f t="shared" si="19"/>
        <v/>
      </c>
      <c r="G1000" s="35" t="str">
        <f t="shared" si="20"/>
        <v/>
      </c>
      <c r="H1000" s="49"/>
      <c r="I1000" s="47" t="str">
        <f t="shared" si="21"/>
        <v/>
      </c>
      <c r="J1000" s="50"/>
      <c r="K1000" s="45" t="b">
        <v>0</v>
      </c>
      <c r="L1000" s="45"/>
      <c r="M1000" s="45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</row>
    <row r="1001">
      <c r="A1001" s="16" t="str">
        <f t="shared" si="14"/>
        <v/>
      </c>
      <c r="B1001" s="16" t="str">
        <f t="shared" si="15"/>
        <v/>
      </c>
      <c r="C1001" s="35" t="str">
        <f t="shared" si="16"/>
        <v/>
      </c>
      <c r="D1001" s="35" t="str">
        <f t="shared" si="17"/>
        <v/>
      </c>
      <c r="E1001" s="35" t="str">
        <f t="shared" si="18"/>
        <v/>
      </c>
      <c r="F1001" s="35" t="str">
        <f t="shared" si="19"/>
        <v/>
      </c>
      <c r="G1001" s="35" t="str">
        <f t="shared" si="20"/>
        <v/>
      </c>
      <c r="H1001" s="49"/>
      <c r="I1001" s="47" t="str">
        <f t="shared" si="21"/>
        <v/>
      </c>
      <c r="J1001" s="50"/>
      <c r="K1001" s="45" t="b">
        <v>0</v>
      </c>
      <c r="L1001" s="45"/>
      <c r="M1001" s="45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</row>
    <row r="1002">
      <c r="A1002" s="16" t="str">
        <f t="shared" si="14"/>
        <v/>
      </c>
      <c r="B1002" s="16" t="str">
        <f t="shared" si="15"/>
        <v/>
      </c>
      <c r="C1002" s="35" t="str">
        <f t="shared" si="16"/>
        <v/>
      </c>
      <c r="D1002" s="35" t="str">
        <f t="shared" si="17"/>
        <v/>
      </c>
      <c r="E1002" s="35" t="str">
        <f t="shared" si="18"/>
        <v/>
      </c>
      <c r="F1002" s="35" t="str">
        <f t="shared" si="19"/>
        <v/>
      </c>
      <c r="G1002" s="35" t="str">
        <f t="shared" si="20"/>
        <v/>
      </c>
      <c r="H1002" s="49"/>
      <c r="I1002" s="47" t="str">
        <f t="shared" si="21"/>
        <v/>
      </c>
      <c r="J1002" s="50"/>
      <c r="K1002" s="45" t="b">
        <v>0</v>
      </c>
      <c r="L1002" s="45"/>
      <c r="M1002" s="45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</row>
    <row r="1003">
      <c r="A1003" s="16" t="str">
        <f t="shared" si="14"/>
        <v/>
      </c>
      <c r="B1003" s="16" t="str">
        <f t="shared" si="15"/>
        <v/>
      </c>
      <c r="C1003" s="35" t="str">
        <f t="shared" si="16"/>
        <v/>
      </c>
      <c r="D1003" s="35" t="str">
        <f t="shared" si="17"/>
        <v/>
      </c>
      <c r="E1003" s="35" t="str">
        <f t="shared" si="18"/>
        <v/>
      </c>
      <c r="F1003" s="35" t="str">
        <f t="shared" si="19"/>
        <v/>
      </c>
      <c r="G1003" s="35" t="str">
        <f t="shared" si="20"/>
        <v/>
      </c>
      <c r="H1003" s="49"/>
      <c r="I1003" s="47" t="str">
        <f t="shared" si="21"/>
        <v/>
      </c>
      <c r="J1003" s="50"/>
      <c r="K1003" s="45" t="b">
        <v>0</v>
      </c>
      <c r="L1003" s="45"/>
      <c r="M1003" s="45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</row>
    <row r="1004">
      <c r="A1004" s="16" t="str">
        <f t="shared" si="14"/>
        <v/>
      </c>
      <c r="B1004" s="16" t="str">
        <f t="shared" si="15"/>
        <v/>
      </c>
      <c r="C1004" s="35" t="str">
        <f t="shared" si="16"/>
        <v/>
      </c>
      <c r="D1004" s="35" t="str">
        <f t="shared" si="17"/>
        <v/>
      </c>
      <c r="E1004" s="35" t="str">
        <f t="shared" si="18"/>
        <v/>
      </c>
      <c r="F1004" s="35" t="str">
        <f t="shared" si="19"/>
        <v/>
      </c>
      <c r="G1004" s="35" t="str">
        <f t="shared" si="20"/>
        <v/>
      </c>
      <c r="H1004" s="49"/>
      <c r="I1004" s="47" t="str">
        <f t="shared" si="21"/>
        <v/>
      </c>
      <c r="J1004" s="50"/>
      <c r="K1004" s="45" t="b">
        <v>0</v>
      </c>
      <c r="L1004" s="45"/>
      <c r="M1004" s="45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  <c r="BO1004" s="46"/>
    </row>
    <row r="1005">
      <c r="A1005" s="16" t="str">
        <f t="shared" si="14"/>
        <v/>
      </c>
      <c r="B1005" s="16" t="str">
        <f t="shared" si="15"/>
        <v/>
      </c>
      <c r="C1005" s="35" t="str">
        <f t="shared" si="16"/>
        <v/>
      </c>
      <c r="D1005" s="35" t="str">
        <f t="shared" si="17"/>
        <v/>
      </c>
      <c r="E1005" s="35" t="str">
        <f t="shared" si="18"/>
        <v/>
      </c>
      <c r="F1005" s="35" t="str">
        <f t="shared" si="19"/>
        <v/>
      </c>
      <c r="G1005" s="35" t="str">
        <f t="shared" si="20"/>
        <v/>
      </c>
      <c r="H1005" s="49"/>
      <c r="I1005" s="47" t="str">
        <f t="shared" si="21"/>
        <v/>
      </c>
      <c r="J1005" s="50"/>
      <c r="K1005" s="45" t="b">
        <v>0</v>
      </c>
      <c r="L1005" s="45"/>
      <c r="M1005" s="45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  <c r="BO1005" s="46"/>
    </row>
    <row r="1006">
      <c r="A1006" s="16" t="str">
        <f t="shared" si="14"/>
        <v/>
      </c>
      <c r="B1006" s="16" t="str">
        <f t="shared" si="15"/>
        <v/>
      </c>
      <c r="C1006" s="35" t="str">
        <f t="shared" si="16"/>
        <v/>
      </c>
      <c r="D1006" s="35" t="str">
        <f t="shared" si="17"/>
        <v/>
      </c>
      <c r="E1006" s="35" t="str">
        <f t="shared" si="18"/>
        <v/>
      </c>
      <c r="F1006" s="35" t="str">
        <f t="shared" si="19"/>
        <v/>
      </c>
      <c r="G1006" s="35" t="str">
        <f t="shared" si="20"/>
        <v/>
      </c>
      <c r="H1006" s="49"/>
      <c r="I1006" s="47" t="str">
        <f t="shared" si="21"/>
        <v/>
      </c>
      <c r="J1006" s="50"/>
      <c r="K1006" s="45" t="b">
        <v>0</v>
      </c>
      <c r="L1006" s="45"/>
      <c r="M1006" s="45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</row>
    <row r="1007">
      <c r="A1007" s="16" t="str">
        <f t="shared" si="14"/>
        <v/>
      </c>
      <c r="B1007" s="16" t="str">
        <f t="shared" si="15"/>
        <v/>
      </c>
      <c r="C1007" s="35" t="str">
        <f t="shared" si="16"/>
        <v/>
      </c>
      <c r="D1007" s="35" t="str">
        <f t="shared" si="17"/>
        <v/>
      </c>
      <c r="E1007" s="35" t="str">
        <f t="shared" si="18"/>
        <v/>
      </c>
      <c r="F1007" s="35" t="str">
        <f t="shared" si="19"/>
        <v/>
      </c>
      <c r="G1007" s="35" t="str">
        <f t="shared" si="20"/>
        <v/>
      </c>
      <c r="H1007" s="49"/>
      <c r="I1007" s="47" t="str">
        <f t="shared" si="21"/>
        <v/>
      </c>
      <c r="J1007" s="50"/>
      <c r="K1007" s="45" t="b">
        <v>0</v>
      </c>
      <c r="L1007" s="45"/>
      <c r="M1007" s="45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</row>
    <row r="1008">
      <c r="A1008" s="16" t="str">
        <f t="shared" si="14"/>
        <v/>
      </c>
      <c r="B1008" s="16" t="str">
        <f t="shared" si="15"/>
        <v/>
      </c>
      <c r="C1008" s="35" t="str">
        <f t="shared" si="16"/>
        <v/>
      </c>
      <c r="D1008" s="35" t="str">
        <f t="shared" si="17"/>
        <v/>
      </c>
      <c r="E1008" s="35" t="str">
        <f t="shared" si="18"/>
        <v/>
      </c>
      <c r="F1008" s="35" t="str">
        <f t="shared" si="19"/>
        <v/>
      </c>
      <c r="G1008" s="35" t="str">
        <f t="shared" si="20"/>
        <v/>
      </c>
      <c r="H1008" s="49"/>
      <c r="I1008" s="47" t="str">
        <f t="shared" si="21"/>
        <v/>
      </c>
      <c r="J1008" s="50"/>
      <c r="K1008" s="45" t="b">
        <v>0</v>
      </c>
      <c r="L1008" s="45"/>
      <c r="M1008" s="45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</row>
    <row r="1009">
      <c r="A1009" s="16" t="str">
        <f t="shared" si="14"/>
        <v/>
      </c>
      <c r="B1009" s="16" t="str">
        <f t="shared" si="15"/>
        <v/>
      </c>
      <c r="C1009" s="35" t="str">
        <f t="shared" si="16"/>
        <v/>
      </c>
      <c r="D1009" s="35" t="str">
        <f t="shared" si="17"/>
        <v/>
      </c>
      <c r="E1009" s="35" t="str">
        <f t="shared" si="18"/>
        <v/>
      </c>
      <c r="F1009" s="35" t="str">
        <f t="shared" si="19"/>
        <v/>
      </c>
      <c r="G1009" s="35" t="str">
        <f t="shared" si="20"/>
        <v/>
      </c>
      <c r="H1009" s="49"/>
      <c r="I1009" s="47" t="str">
        <f t="shared" si="21"/>
        <v/>
      </c>
      <c r="J1009" s="50"/>
      <c r="K1009" s="45" t="b">
        <v>0</v>
      </c>
      <c r="L1009" s="45"/>
      <c r="M1009" s="45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</row>
    <row r="1010">
      <c r="A1010" s="16" t="str">
        <f t="shared" si="14"/>
        <v/>
      </c>
      <c r="B1010" s="16" t="str">
        <f t="shared" si="15"/>
        <v/>
      </c>
      <c r="C1010" s="35" t="str">
        <f t="shared" si="16"/>
        <v/>
      </c>
      <c r="D1010" s="35" t="str">
        <f t="shared" si="17"/>
        <v/>
      </c>
      <c r="E1010" s="35" t="str">
        <f t="shared" si="18"/>
        <v/>
      </c>
      <c r="F1010" s="35" t="str">
        <f t="shared" si="19"/>
        <v/>
      </c>
      <c r="G1010" s="35" t="str">
        <f t="shared" si="20"/>
        <v/>
      </c>
      <c r="H1010" s="49"/>
      <c r="I1010" s="47" t="str">
        <f t="shared" si="21"/>
        <v/>
      </c>
      <c r="J1010" s="50"/>
      <c r="K1010" s="45" t="b">
        <v>0</v>
      </c>
      <c r="L1010" s="45"/>
      <c r="M1010" s="45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</row>
    <row r="1011">
      <c r="A1011" s="16" t="str">
        <f t="shared" si="14"/>
        <v/>
      </c>
      <c r="B1011" s="16" t="str">
        <f t="shared" si="15"/>
        <v/>
      </c>
      <c r="C1011" s="35" t="str">
        <f t="shared" si="16"/>
        <v/>
      </c>
      <c r="D1011" s="35" t="str">
        <f t="shared" si="17"/>
        <v/>
      </c>
      <c r="E1011" s="35" t="str">
        <f t="shared" si="18"/>
        <v/>
      </c>
      <c r="F1011" s="35" t="str">
        <f t="shared" si="19"/>
        <v/>
      </c>
      <c r="G1011" s="35" t="str">
        <f t="shared" si="20"/>
        <v/>
      </c>
      <c r="H1011" s="49"/>
      <c r="I1011" s="47" t="str">
        <f t="shared" si="21"/>
        <v/>
      </c>
      <c r="J1011" s="50"/>
      <c r="K1011" s="45" t="b">
        <v>0</v>
      </c>
      <c r="L1011" s="45"/>
      <c r="M1011" s="45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</row>
    <row r="1012">
      <c r="A1012" s="16" t="str">
        <f t="shared" si="14"/>
        <v/>
      </c>
      <c r="B1012" s="16" t="str">
        <f t="shared" si="15"/>
        <v/>
      </c>
      <c r="C1012" s="35" t="str">
        <f t="shared" si="16"/>
        <v/>
      </c>
      <c r="D1012" s="35" t="str">
        <f t="shared" si="17"/>
        <v/>
      </c>
      <c r="E1012" s="35" t="str">
        <f t="shared" si="18"/>
        <v/>
      </c>
      <c r="F1012" s="35" t="str">
        <f t="shared" si="19"/>
        <v/>
      </c>
      <c r="G1012" s="35" t="str">
        <f t="shared" si="20"/>
        <v/>
      </c>
      <c r="H1012" s="49"/>
      <c r="I1012" s="47" t="str">
        <f t="shared" si="21"/>
        <v/>
      </c>
      <c r="J1012" s="50"/>
      <c r="K1012" s="45" t="b">
        <v>0</v>
      </c>
      <c r="L1012" s="45"/>
      <c r="M1012" s="45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</row>
    <row r="1013">
      <c r="A1013" s="16" t="str">
        <f t="shared" si="14"/>
        <v/>
      </c>
      <c r="B1013" s="16" t="str">
        <f t="shared" si="15"/>
        <v/>
      </c>
      <c r="C1013" s="35" t="str">
        <f t="shared" si="16"/>
        <v/>
      </c>
      <c r="D1013" s="35" t="str">
        <f t="shared" si="17"/>
        <v/>
      </c>
      <c r="E1013" s="35" t="str">
        <f t="shared" si="18"/>
        <v/>
      </c>
      <c r="F1013" s="35" t="str">
        <f t="shared" si="19"/>
        <v/>
      </c>
      <c r="G1013" s="35" t="str">
        <f t="shared" si="20"/>
        <v/>
      </c>
      <c r="H1013" s="49"/>
      <c r="I1013" s="47" t="str">
        <f t="shared" si="21"/>
        <v/>
      </c>
      <c r="J1013" s="50"/>
      <c r="K1013" s="45" t="b">
        <v>0</v>
      </c>
      <c r="L1013" s="45"/>
      <c r="M1013" s="45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</row>
    <row r="1014">
      <c r="A1014" s="16" t="str">
        <f t="shared" si="14"/>
        <v/>
      </c>
      <c r="B1014" s="16" t="str">
        <f t="shared" si="15"/>
        <v/>
      </c>
      <c r="C1014" s="35" t="str">
        <f t="shared" si="16"/>
        <v/>
      </c>
      <c r="D1014" s="35" t="str">
        <f t="shared" si="17"/>
        <v/>
      </c>
      <c r="E1014" s="35" t="str">
        <f t="shared" si="18"/>
        <v/>
      </c>
      <c r="F1014" s="35" t="str">
        <f t="shared" si="19"/>
        <v/>
      </c>
      <c r="G1014" s="35" t="str">
        <f t="shared" si="20"/>
        <v/>
      </c>
      <c r="H1014" s="49"/>
      <c r="I1014" s="47" t="str">
        <f t="shared" si="21"/>
        <v/>
      </c>
      <c r="J1014" s="50"/>
      <c r="K1014" s="45" t="b">
        <v>0</v>
      </c>
      <c r="L1014" s="45"/>
      <c r="M1014" s="45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</row>
    <row r="1015">
      <c r="A1015" s="16" t="str">
        <f t="shared" si="14"/>
        <v/>
      </c>
      <c r="B1015" s="16" t="str">
        <f t="shared" si="15"/>
        <v/>
      </c>
      <c r="C1015" s="35" t="str">
        <f t="shared" si="16"/>
        <v/>
      </c>
      <c r="D1015" s="35" t="str">
        <f t="shared" si="17"/>
        <v/>
      </c>
      <c r="E1015" s="35" t="str">
        <f t="shared" si="18"/>
        <v/>
      </c>
      <c r="F1015" s="35" t="str">
        <f t="shared" si="19"/>
        <v/>
      </c>
      <c r="G1015" s="35" t="str">
        <f t="shared" si="20"/>
        <v/>
      </c>
      <c r="H1015" s="49"/>
      <c r="I1015" s="47" t="str">
        <f t="shared" si="21"/>
        <v/>
      </c>
      <c r="J1015" s="50"/>
      <c r="K1015" s="45" t="b">
        <v>0</v>
      </c>
      <c r="L1015" s="45"/>
      <c r="M1015" s="45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</row>
    <row r="1016">
      <c r="A1016" s="16" t="str">
        <f t="shared" si="14"/>
        <v/>
      </c>
      <c r="B1016" s="16" t="str">
        <f t="shared" si="15"/>
        <v/>
      </c>
      <c r="C1016" s="35" t="str">
        <f t="shared" si="16"/>
        <v/>
      </c>
      <c r="D1016" s="35" t="str">
        <f t="shared" si="17"/>
        <v/>
      </c>
      <c r="E1016" s="35" t="str">
        <f t="shared" si="18"/>
        <v/>
      </c>
      <c r="F1016" s="35" t="str">
        <f t="shared" si="19"/>
        <v/>
      </c>
      <c r="G1016" s="35" t="str">
        <f t="shared" si="20"/>
        <v/>
      </c>
      <c r="H1016" s="49"/>
      <c r="I1016" s="47" t="str">
        <f t="shared" si="21"/>
        <v/>
      </c>
      <c r="J1016" s="50"/>
      <c r="K1016" s="45" t="b">
        <v>0</v>
      </c>
      <c r="L1016" s="45"/>
      <c r="M1016" s="45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</row>
    <row r="1017">
      <c r="A1017" s="16" t="str">
        <f t="shared" si="14"/>
        <v/>
      </c>
      <c r="B1017" s="16" t="str">
        <f t="shared" si="15"/>
        <v/>
      </c>
      <c r="C1017" s="35" t="str">
        <f t="shared" si="16"/>
        <v/>
      </c>
      <c r="D1017" s="35" t="str">
        <f t="shared" si="17"/>
        <v/>
      </c>
      <c r="E1017" s="35" t="str">
        <f t="shared" si="18"/>
        <v/>
      </c>
      <c r="F1017" s="35" t="str">
        <f t="shared" si="19"/>
        <v/>
      </c>
      <c r="G1017" s="35" t="str">
        <f t="shared" si="20"/>
        <v/>
      </c>
      <c r="H1017" s="49"/>
      <c r="I1017" s="47" t="str">
        <f t="shared" si="21"/>
        <v/>
      </c>
      <c r="J1017" s="50"/>
      <c r="K1017" s="45" t="b">
        <v>0</v>
      </c>
      <c r="L1017" s="45"/>
      <c r="M1017" s="45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</row>
    <row r="1018">
      <c r="A1018" s="16" t="str">
        <f t="shared" si="14"/>
        <v/>
      </c>
      <c r="B1018" s="16" t="str">
        <f t="shared" si="15"/>
        <v/>
      </c>
      <c r="C1018" s="35" t="str">
        <f t="shared" si="16"/>
        <v/>
      </c>
      <c r="D1018" s="35" t="str">
        <f t="shared" si="17"/>
        <v/>
      </c>
      <c r="E1018" s="35" t="str">
        <f t="shared" si="18"/>
        <v/>
      </c>
      <c r="F1018" s="35" t="str">
        <f t="shared" si="19"/>
        <v/>
      </c>
      <c r="G1018" s="35" t="str">
        <f t="shared" si="20"/>
        <v/>
      </c>
      <c r="H1018" s="49"/>
      <c r="I1018" s="47" t="str">
        <f t="shared" si="21"/>
        <v/>
      </c>
      <c r="J1018" s="50"/>
      <c r="K1018" s="45" t="b">
        <v>0</v>
      </c>
      <c r="L1018" s="45"/>
      <c r="M1018" s="45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</row>
    <row r="1019">
      <c r="A1019" s="16" t="str">
        <f t="shared" si="14"/>
        <v/>
      </c>
      <c r="B1019" s="16" t="str">
        <f t="shared" si="15"/>
        <v/>
      </c>
      <c r="C1019" s="35" t="str">
        <f t="shared" si="16"/>
        <v/>
      </c>
      <c r="D1019" s="35" t="str">
        <f t="shared" si="17"/>
        <v/>
      </c>
      <c r="E1019" s="35" t="str">
        <f t="shared" si="18"/>
        <v/>
      </c>
      <c r="F1019" s="35" t="str">
        <f t="shared" si="19"/>
        <v/>
      </c>
      <c r="G1019" s="35" t="str">
        <f t="shared" si="20"/>
        <v/>
      </c>
      <c r="H1019" s="49"/>
      <c r="I1019" s="47" t="str">
        <f t="shared" si="21"/>
        <v/>
      </c>
      <c r="J1019" s="50"/>
      <c r="K1019" s="45" t="b">
        <v>0</v>
      </c>
      <c r="L1019" s="45"/>
      <c r="M1019" s="45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</row>
    <row r="1020">
      <c r="A1020" s="16" t="str">
        <f t="shared" si="14"/>
        <v/>
      </c>
      <c r="B1020" s="16" t="str">
        <f t="shared" si="15"/>
        <v/>
      </c>
      <c r="C1020" s="35" t="str">
        <f t="shared" si="16"/>
        <v/>
      </c>
      <c r="D1020" s="35" t="str">
        <f t="shared" si="17"/>
        <v/>
      </c>
      <c r="E1020" s="35" t="str">
        <f t="shared" si="18"/>
        <v/>
      </c>
      <c r="F1020" s="35" t="str">
        <f t="shared" si="19"/>
        <v/>
      </c>
      <c r="G1020" s="35" t="str">
        <f t="shared" si="20"/>
        <v/>
      </c>
      <c r="H1020" s="49"/>
      <c r="I1020" s="47" t="str">
        <f t="shared" si="21"/>
        <v/>
      </c>
      <c r="J1020" s="50"/>
      <c r="K1020" s="45" t="b">
        <v>0</v>
      </c>
      <c r="L1020" s="45"/>
      <c r="M1020" s="45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</row>
    <row r="1021">
      <c r="A1021" s="16" t="str">
        <f t="shared" si="14"/>
        <v/>
      </c>
      <c r="B1021" s="16" t="str">
        <f t="shared" si="15"/>
        <v/>
      </c>
      <c r="C1021" s="35" t="str">
        <f t="shared" si="16"/>
        <v/>
      </c>
      <c r="D1021" s="35" t="str">
        <f t="shared" si="17"/>
        <v/>
      </c>
      <c r="E1021" s="35" t="str">
        <f t="shared" si="18"/>
        <v/>
      </c>
      <c r="F1021" s="35" t="str">
        <f t="shared" si="19"/>
        <v/>
      </c>
      <c r="G1021" s="35" t="str">
        <f t="shared" si="20"/>
        <v/>
      </c>
      <c r="H1021" s="49"/>
      <c r="I1021" s="47" t="str">
        <f t="shared" si="21"/>
        <v/>
      </c>
      <c r="J1021" s="50"/>
      <c r="K1021" s="45" t="b">
        <v>0</v>
      </c>
      <c r="L1021" s="45"/>
      <c r="M1021" s="45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</row>
    <row r="1022">
      <c r="A1022" s="16" t="str">
        <f t="shared" si="14"/>
        <v/>
      </c>
      <c r="B1022" s="16" t="str">
        <f t="shared" si="15"/>
        <v/>
      </c>
      <c r="C1022" s="35" t="str">
        <f t="shared" si="16"/>
        <v/>
      </c>
      <c r="D1022" s="35" t="str">
        <f t="shared" si="17"/>
        <v/>
      </c>
      <c r="E1022" s="35" t="str">
        <f t="shared" si="18"/>
        <v/>
      </c>
      <c r="F1022" s="35" t="str">
        <f t="shared" si="19"/>
        <v/>
      </c>
      <c r="G1022" s="35" t="str">
        <f t="shared" si="20"/>
        <v/>
      </c>
      <c r="H1022" s="49"/>
      <c r="I1022" s="47" t="str">
        <f t="shared" si="21"/>
        <v/>
      </c>
      <c r="J1022" s="50"/>
      <c r="K1022" s="45" t="b">
        <v>0</v>
      </c>
      <c r="L1022" s="45"/>
      <c r="M1022" s="45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</row>
    <row r="1023">
      <c r="A1023" s="16" t="str">
        <f t="shared" si="14"/>
        <v/>
      </c>
      <c r="B1023" s="16" t="str">
        <f t="shared" si="15"/>
        <v/>
      </c>
      <c r="C1023" s="35" t="str">
        <f t="shared" si="16"/>
        <v/>
      </c>
      <c r="D1023" s="35" t="str">
        <f t="shared" si="17"/>
        <v/>
      </c>
      <c r="E1023" s="35" t="str">
        <f t="shared" si="18"/>
        <v/>
      </c>
      <c r="F1023" s="35" t="str">
        <f t="shared" si="19"/>
        <v/>
      </c>
      <c r="G1023" s="35" t="str">
        <f t="shared" si="20"/>
        <v/>
      </c>
      <c r="H1023" s="49"/>
      <c r="I1023" s="47" t="str">
        <f t="shared" si="21"/>
        <v/>
      </c>
      <c r="J1023" s="50"/>
      <c r="K1023" s="45" t="b">
        <v>0</v>
      </c>
      <c r="L1023" s="45"/>
      <c r="M1023" s="45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</row>
    <row r="1024">
      <c r="A1024" s="16" t="str">
        <f t="shared" si="14"/>
        <v/>
      </c>
      <c r="B1024" s="16" t="str">
        <f t="shared" si="15"/>
        <v/>
      </c>
      <c r="C1024" s="35" t="str">
        <f t="shared" si="16"/>
        <v/>
      </c>
      <c r="D1024" s="35" t="str">
        <f t="shared" si="17"/>
        <v/>
      </c>
      <c r="E1024" s="35" t="str">
        <f t="shared" si="18"/>
        <v/>
      </c>
      <c r="F1024" s="35" t="str">
        <f t="shared" si="19"/>
        <v/>
      </c>
      <c r="G1024" s="35" t="str">
        <f t="shared" si="20"/>
        <v/>
      </c>
      <c r="H1024" s="49"/>
      <c r="I1024" s="47" t="str">
        <f t="shared" si="21"/>
        <v/>
      </c>
      <c r="J1024" s="50"/>
      <c r="K1024" s="45" t="b">
        <v>0</v>
      </c>
      <c r="L1024" s="45"/>
      <c r="M1024" s="45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46"/>
      <c r="BM1024" s="46"/>
      <c r="BN1024" s="46"/>
      <c r="BO1024" s="46"/>
    </row>
    <row r="1025">
      <c r="A1025" s="16" t="str">
        <f t="shared" si="14"/>
        <v/>
      </c>
      <c r="B1025" s="16" t="str">
        <f t="shared" si="15"/>
        <v/>
      </c>
      <c r="C1025" s="35" t="str">
        <f t="shared" si="16"/>
        <v/>
      </c>
      <c r="D1025" s="35" t="str">
        <f t="shared" si="17"/>
        <v/>
      </c>
      <c r="E1025" s="35" t="str">
        <f t="shared" si="18"/>
        <v/>
      </c>
      <c r="F1025" s="35" t="str">
        <f t="shared" si="19"/>
        <v/>
      </c>
      <c r="G1025" s="35" t="str">
        <f t="shared" si="20"/>
        <v/>
      </c>
      <c r="H1025" s="49"/>
      <c r="I1025" s="47" t="str">
        <f t="shared" si="21"/>
        <v/>
      </c>
      <c r="J1025" s="50"/>
      <c r="K1025" s="45" t="b">
        <v>0</v>
      </c>
      <c r="L1025" s="45"/>
      <c r="M1025" s="45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46"/>
      <c r="BM1025" s="46"/>
      <c r="BN1025" s="46"/>
      <c r="BO1025" s="46"/>
    </row>
    <row r="1026">
      <c r="A1026" s="16" t="str">
        <f t="shared" si="14"/>
        <v/>
      </c>
      <c r="B1026" s="16" t="str">
        <f t="shared" si="15"/>
        <v/>
      </c>
      <c r="C1026" s="35" t="str">
        <f t="shared" si="16"/>
        <v/>
      </c>
      <c r="D1026" s="35" t="str">
        <f t="shared" si="17"/>
        <v/>
      </c>
      <c r="E1026" s="35" t="str">
        <f t="shared" si="18"/>
        <v/>
      </c>
      <c r="F1026" s="35" t="str">
        <f t="shared" si="19"/>
        <v/>
      </c>
      <c r="G1026" s="35" t="str">
        <f t="shared" si="20"/>
        <v/>
      </c>
      <c r="H1026" s="49"/>
      <c r="I1026" s="47" t="str">
        <f t="shared" si="21"/>
        <v/>
      </c>
      <c r="J1026" s="50"/>
      <c r="K1026" s="45" t="b">
        <v>0</v>
      </c>
      <c r="L1026" s="45"/>
      <c r="M1026" s="45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</row>
    <row r="1027">
      <c r="A1027" s="16" t="str">
        <f t="shared" si="14"/>
        <v/>
      </c>
      <c r="B1027" s="16" t="str">
        <f t="shared" si="15"/>
        <v/>
      </c>
      <c r="C1027" s="35" t="str">
        <f t="shared" si="16"/>
        <v/>
      </c>
      <c r="D1027" s="35" t="str">
        <f t="shared" si="17"/>
        <v/>
      </c>
      <c r="E1027" s="35" t="str">
        <f t="shared" si="18"/>
        <v/>
      </c>
      <c r="F1027" s="35" t="str">
        <f t="shared" si="19"/>
        <v/>
      </c>
      <c r="G1027" s="35" t="str">
        <f t="shared" si="20"/>
        <v/>
      </c>
      <c r="H1027" s="49"/>
      <c r="I1027" s="47" t="str">
        <f t="shared" si="21"/>
        <v/>
      </c>
      <c r="J1027" s="50"/>
      <c r="K1027" s="45" t="b">
        <v>0</v>
      </c>
      <c r="L1027" s="45"/>
      <c r="M1027" s="45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</row>
    <row r="1028">
      <c r="A1028" s="16" t="str">
        <f t="shared" si="14"/>
        <v/>
      </c>
      <c r="B1028" s="16" t="str">
        <f t="shared" si="15"/>
        <v/>
      </c>
      <c r="C1028" s="35" t="str">
        <f t="shared" si="16"/>
        <v/>
      </c>
      <c r="D1028" s="35" t="str">
        <f t="shared" si="17"/>
        <v/>
      </c>
      <c r="E1028" s="35" t="str">
        <f t="shared" si="18"/>
        <v/>
      </c>
      <c r="F1028" s="35" t="str">
        <f t="shared" si="19"/>
        <v/>
      </c>
      <c r="G1028" s="35" t="str">
        <f t="shared" si="20"/>
        <v/>
      </c>
      <c r="H1028" s="49"/>
      <c r="I1028" s="47" t="str">
        <f t="shared" si="21"/>
        <v/>
      </c>
      <c r="J1028" s="50"/>
      <c r="K1028" s="45" t="b">
        <v>0</v>
      </c>
      <c r="L1028" s="45"/>
      <c r="M1028" s="45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</row>
    <row r="1029">
      <c r="A1029" s="16" t="str">
        <f t="shared" si="14"/>
        <v/>
      </c>
      <c r="B1029" s="16" t="str">
        <f t="shared" si="15"/>
        <v/>
      </c>
      <c r="C1029" s="35" t="str">
        <f t="shared" si="16"/>
        <v/>
      </c>
      <c r="D1029" s="35" t="str">
        <f t="shared" si="17"/>
        <v/>
      </c>
      <c r="E1029" s="35" t="str">
        <f t="shared" si="18"/>
        <v/>
      </c>
      <c r="F1029" s="35" t="str">
        <f t="shared" si="19"/>
        <v/>
      </c>
      <c r="G1029" s="35" t="str">
        <f t="shared" si="20"/>
        <v/>
      </c>
      <c r="H1029" s="49"/>
      <c r="I1029" s="47" t="str">
        <f t="shared" si="21"/>
        <v/>
      </c>
      <c r="J1029" s="50"/>
      <c r="K1029" s="45" t="b">
        <v>0</v>
      </c>
      <c r="L1029" s="45"/>
      <c r="M1029" s="45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</row>
    <row r="1030">
      <c r="A1030" s="16" t="str">
        <f t="shared" si="14"/>
        <v/>
      </c>
      <c r="B1030" s="16" t="str">
        <f t="shared" si="15"/>
        <v/>
      </c>
      <c r="C1030" s="35" t="str">
        <f t="shared" si="16"/>
        <v/>
      </c>
      <c r="D1030" s="35" t="str">
        <f t="shared" si="17"/>
        <v/>
      </c>
      <c r="E1030" s="35" t="str">
        <f t="shared" si="18"/>
        <v/>
      </c>
      <c r="F1030" s="35" t="str">
        <f t="shared" si="19"/>
        <v/>
      </c>
      <c r="G1030" s="35" t="str">
        <f t="shared" si="20"/>
        <v/>
      </c>
      <c r="H1030" s="49"/>
      <c r="I1030" s="47" t="str">
        <f t="shared" si="21"/>
        <v/>
      </c>
      <c r="J1030" s="50"/>
      <c r="K1030" s="45" t="b">
        <v>0</v>
      </c>
      <c r="L1030" s="45"/>
      <c r="M1030" s="45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6"/>
    </row>
    <row r="1031">
      <c r="A1031" s="16" t="str">
        <f t="shared" si="14"/>
        <v/>
      </c>
      <c r="B1031" s="16" t="str">
        <f t="shared" si="15"/>
        <v/>
      </c>
      <c r="C1031" s="35" t="str">
        <f t="shared" si="16"/>
        <v/>
      </c>
      <c r="D1031" s="35" t="str">
        <f t="shared" si="17"/>
        <v/>
      </c>
      <c r="E1031" s="35" t="str">
        <f t="shared" si="18"/>
        <v/>
      </c>
      <c r="F1031" s="35" t="str">
        <f t="shared" si="19"/>
        <v/>
      </c>
      <c r="G1031" s="35" t="str">
        <f t="shared" si="20"/>
        <v/>
      </c>
      <c r="H1031" s="49"/>
      <c r="I1031" s="47" t="str">
        <f t="shared" si="21"/>
        <v/>
      </c>
      <c r="J1031" s="50"/>
      <c r="K1031" s="45" t="b">
        <v>0</v>
      </c>
      <c r="L1031" s="45"/>
      <c r="M1031" s="45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6"/>
    </row>
    <row r="1032">
      <c r="A1032" s="16" t="str">
        <f t="shared" si="14"/>
        <v/>
      </c>
      <c r="B1032" s="16" t="str">
        <f t="shared" si="15"/>
        <v/>
      </c>
      <c r="C1032" s="35" t="str">
        <f t="shared" si="16"/>
        <v/>
      </c>
      <c r="D1032" s="35" t="str">
        <f t="shared" si="17"/>
        <v/>
      </c>
      <c r="E1032" s="35" t="str">
        <f t="shared" si="18"/>
        <v/>
      </c>
      <c r="F1032" s="35" t="str">
        <f t="shared" si="19"/>
        <v/>
      </c>
      <c r="G1032" s="35" t="str">
        <f t="shared" si="20"/>
        <v/>
      </c>
      <c r="H1032" s="49"/>
      <c r="I1032" s="47" t="str">
        <f t="shared" si="21"/>
        <v/>
      </c>
      <c r="J1032" s="50"/>
      <c r="K1032" s="45" t="b">
        <v>0</v>
      </c>
      <c r="L1032" s="45"/>
      <c r="M1032" s="45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</row>
    <row r="1033">
      <c r="A1033" s="16" t="str">
        <f t="shared" si="14"/>
        <v/>
      </c>
      <c r="B1033" s="16" t="str">
        <f t="shared" si="15"/>
        <v/>
      </c>
      <c r="C1033" s="35" t="str">
        <f t="shared" si="16"/>
        <v/>
      </c>
      <c r="D1033" s="35" t="str">
        <f t="shared" si="17"/>
        <v/>
      </c>
      <c r="E1033" s="35" t="str">
        <f t="shared" si="18"/>
        <v/>
      </c>
      <c r="F1033" s="35" t="str">
        <f t="shared" si="19"/>
        <v/>
      </c>
      <c r="G1033" s="35" t="str">
        <f t="shared" si="20"/>
        <v/>
      </c>
      <c r="H1033" s="49"/>
      <c r="I1033" s="47" t="str">
        <f t="shared" si="21"/>
        <v/>
      </c>
      <c r="J1033" s="50"/>
      <c r="K1033" s="45" t="b">
        <v>0</v>
      </c>
      <c r="L1033" s="45"/>
      <c r="M1033" s="45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46"/>
      <c r="BM1033" s="46"/>
      <c r="BN1033" s="46"/>
      <c r="BO1033" s="46"/>
    </row>
    <row r="1034">
      <c r="A1034" s="16" t="str">
        <f t="shared" si="14"/>
        <v/>
      </c>
      <c r="B1034" s="16" t="str">
        <f t="shared" si="15"/>
        <v/>
      </c>
      <c r="C1034" s="35" t="str">
        <f t="shared" si="16"/>
        <v/>
      </c>
      <c r="D1034" s="35" t="str">
        <f t="shared" si="17"/>
        <v/>
      </c>
      <c r="E1034" s="35" t="str">
        <f t="shared" si="18"/>
        <v/>
      </c>
      <c r="F1034" s="35" t="str">
        <f t="shared" si="19"/>
        <v/>
      </c>
      <c r="G1034" s="35" t="str">
        <f t="shared" si="20"/>
        <v/>
      </c>
      <c r="H1034" s="49"/>
      <c r="I1034" s="47" t="str">
        <f t="shared" si="21"/>
        <v/>
      </c>
      <c r="J1034" s="50"/>
      <c r="K1034" s="45" t="b">
        <v>0</v>
      </c>
      <c r="L1034" s="45"/>
      <c r="M1034" s="45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46"/>
      <c r="BM1034" s="46"/>
      <c r="BN1034" s="46"/>
      <c r="BO1034" s="46"/>
    </row>
    <row r="1035">
      <c r="A1035" s="16" t="str">
        <f t="shared" si="14"/>
        <v/>
      </c>
      <c r="B1035" s="16" t="str">
        <f t="shared" si="15"/>
        <v/>
      </c>
      <c r="C1035" s="35" t="str">
        <f t="shared" si="16"/>
        <v/>
      </c>
      <c r="D1035" s="35" t="str">
        <f t="shared" si="17"/>
        <v/>
      </c>
      <c r="E1035" s="35" t="str">
        <f t="shared" si="18"/>
        <v/>
      </c>
      <c r="F1035" s="35" t="str">
        <f t="shared" si="19"/>
        <v/>
      </c>
      <c r="G1035" s="35" t="str">
        <f t="shared" si="20"/>
        <v/>
      </c>
      <c r="H1035" s="49"/>
      <c r="I1035" s="47" t="str">
        <f t="shared" si="21"/>
        <v/>
      </c>
      <c r="J1035" s="50"/>
      <c r="K1035" s="45" t="b">
        <v>0</v>
      </c>
      <c r="L1035" s="45"/>
      <c r="M1035" s="45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</row>
    <row r="1036">
      <c r="A1036" s="16" t="str">
        <f t="shared" si="14"/>
        <v/>
      </c>
      <c r="B1036" s="16" t="str">
        <f t="shared" si="15"/>
        <v/>
      </c>
      <c r="C1036" s="35" t="str">
        <f t="shared" si="16"/>
        <v/>
      </c>
      <c r="D1036" s="35" t="str">
        <f t="shared" si="17"/>
        <v/>
      </c>
      <c r="E1036" s="35" t="str">
        <f t="shared" si="18"/>
        <v/>
      </c>
      <c r="F1036" s="35" t="str">
        <f t="shared" si="19"/>
        <v/>
      </c>
      <c r="G1036" s="35" t="str">
        <f t="shared" si="20"/>
        <v/>
      </c>
      <c r="H1036" s="49"/>
      <c r="I1036" s="47" t="str">
        <f t="shared" si="21"/>
        <v/>
      </c>
      <c r="J1036" s="50"/>
      <c r="K1036" s="45" t="b">
        <v>0</v>
      </c>
      <c r="L1036" s="45"/>
      <c r="M1036" s="45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46"/>
      <c r="BM1036" s="46"/>
      <c r="BN1036" s="46"/>
      <c r="BO1036" s="46"/>
    </row>
    <row r="1037">
      <c r="A1037" s="16" t="str">
        <f t="shared" si="14"/>
        <v/>
      </c>
      <c r="B1037" s="16" t="str">
        <f t="shared" si="15"/>
        <v/>
      </c>
      <c r="C1037" s="35" t="str">
        <f t="shared" si="16"/>
        <v/>
      </c>
      <c r="D1037" s="35" t="str">
        <f t="shared" si="17"/>
        <v/>
      </c>
      <c r="E1037" s="35" t="str">
        <f t="shared" si="18"/>
        <v/>
      </c>
      <c r="F1037" s="35" t="str">
        <f t="shared" si="19"/>
        <v/>
      </c>
      <c r="G1037" s="35" t="str">
        <f t="shared" si="20"/>
        <v/>
      </c>
      <c r="H1037" s="49"/>
      <c r="I1037" s="47" t="str">
        <f t="shared" si="21"/>
        <v/>
      </c>
      <c r="J1037" s="50"/>
      <c r="K1037" s="45" t="b">
        <v>0</v>
      </c>
      <c r="L1037" s="45"/>
      <c r="M1037" s="45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</row>
    <row r="1038">
      <c r="A1038" s="16" t="str">
        <f t="shared" si="14"/>
        <v/>
      </c>
      <c r="B1038" s="16" t="str">
        <f t="shared" si="15"/>
        <v/>
      </c>
      <c r="C1038" s="35" t="str">
        <f t="shared" si="16"/>
        <v/>
      </c>
      <c r="D1038" s="35" t="str">
        <f t="shared" si="17"/>
        <v/>
      </c>
      <c r="E1038" s="35" t="str">
        <f t="shared" si="18"/>
        <v/>
      </c>
      <c r="F1038" s="35" t="str">
        <f t="shared" si="19"/>
        <v/>
      </c>
      <c r="G1038" s="35" t="str">
        <f t="shared" si="20"/>
        <v/>
      </c>
      <c r="H1038" s="49"/>
      <c r="I1038" s="47" t="str">
        <f t="shared" si="21"/>
        <v/>
      </c>
      <c r="J1038" s="50"/>
      <c r="K1038" s="45" t="b">
        <v>0</v>
      </c>
      <c r="L1038" s="45"/>
      <c r="M1038" s="45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</row>
    <row r="1039">
      <c r="A1039" s="16" t="str">
        <f t="shared" si="14"/>
        <v/>
      </c>
      <c r="B1039" s="16" t="str">
        <f t="shared" si="15"/>
        <v/>
      </c>
      <c r="C1039" s="35" t="str">
        <f t="shared" si="16"/>
        <v/>
      </c>
      <c r="D1039" s="35" t="str">
        <f t="shared" si="17"/>
        <v/>
      </c>
      <c r="E1039" s="35" t="str">
        <f t="shared" si="18"/>
        <v/>
      </c>
      <c r="F1039" s="35" t="str">
        <f t="shared" si="19"/>
        <v/>
      </c>
      <c r="G1039" s="35" t="str">
        <f t="shared" si="20"/>
        <v/>
      </c>
      <c r="H1039" s="49"/>
      <c r="I1039" s="47" t="str">
        <f t="shared" si="21"/>
        <v/>
      </c>
      <c r="J1039" s="50"/>
      <c r="K1039" s="45" t="b">
        <v>0</v>
      </c>
      <c r="L1039" s="45"/>
      <c r="M1039" s="45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</row>
    <row r="1040">
      <c r="A1040" s="16" t="str">
        <f t="shared" si="14"/>
        <v/>
      </c>
      <c r="B1040" s="16" t="str">
        <f t="shared" si="15"/>
        <v/>
      </c>
      <c r="C1040" s="35" t="str">
        <f t="shared" si="16"/>
        <v/>
      </c>
      <c r="D1040" s="35" t="str">
        <f t="shared" si="17"/>
        <v/>
      </c>
      <c r="E1040" s="35" t="str">
        <f t="shared" si="18"/>
        <v/>
      </c>
      <c r="F1040" s="35" t="str">
        <f t="shared" si="19"/>
        <v/>
      </c>
      <c r="G1040" s="35" t="str">
        <f t="shared" si="20"/>
        <v/>
      </c>
      <c r="H1040" s="49"/>
      <c r="I1040" s="47" t="str">
        <f t="shared" si="21"/>
        <v/>
      </c>
      <c r="J1040" s="50"/>
      <c r="K1040" s="45" t="b">
        <v>0</v>
      </c>
      <c r="L1040" s="45"/>
      <c r="M1040" s="45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</row>
    <row r="1041">
      <c r="A1041" s="16" t="str">
        <f t="shared" si="14"/>
        <v/>
      </c>
      <c r="B1041" s="16" t="str">
        <f t="shared" si="15"/>
        <v/>
      </c>
      <c r="C1041" s="35" t="str">
        <f t="shared" si="16"/>
        <v/>
      </c>
      <c r="D1041" s="35" t="str">
        <f t="shared" si="17"/>
        <v/>
      </c>
      <c r="E1041" s="35" t="str">
        <f t="shared" si="18"/>
        <v/>
      </c>
      <c r="F1041" s="35" t="str">
        <f t="shared" si="19"/>
        <v/>
      </c>
      <c r="G1041" s="35" t="str">
        <f t="shared" si="20"/>
        <v/>
      </c>
      <c r="H1041" s="49"/>
      <c r="I1041" s="47" t="str">
        <f t="shared" si="21"/>
        <v/>
      </c>
      <c r="J1041" s="50"/>
      <c r="K1041" s="45" t="b">
        <v>0</v>
      </c>
      <c r="L1041" s="45"/>
      <c r="M1041" s="45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</row>
    <row r="1042">
      <c r="A1042" s="16" t="str">
        <f t="shared" si="14"/>
        <v/>
      </c>
      <c r="B1042" s="16" t="str">
        <f t="shared" si="15"/>
        <v/>
      </c>
      <c r="C1042" s="35" t="str">
        <f t="shared" si="16"/>
        <v/>
      </c>
      <c r="D1042" s="35" t="str">
        <f t="shared" si="17"/>
        <v/>
      </c>
      <c r="E1042" s="35" t="str">
        <f t="shared" si="18"/>
        <v/>
      </c>
      <c r="F1042" s="35" t="str">
        <f t="shared" si="19"/>
        <v/>
      </c>
      <c r="G1042" s="35" t="str">
        <f t="shared" si="20"/>
        <v/>
      </c>
      <c r="H1042" s="49"/>
      <c r="I1042" s="47" t="str">
        <f t="shared" si="21"/>
        <v/>
      </c>
      <c r="J1042" s="50"/>
      <c r="K1042" s="45" t="b">
        <v>0</v>
      </c>
      <c r="L1042" s="45"/>
      <c r="M1042" s="45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</row>
    <row r="1043">
      <c r="A1043" s="16" t="str">
        <f t="shared" si="14"/>
        <v/>
      </c>
      <c r="B1043" s="16" t="str">
        <f t="shared" si="15"/>
        <v/>
      </c>
      <c r="C1043" s="35" t="str">
        <f t="shared" si="16"/>
        <v/>
      </c>
      <c r="D1043" s="35" t="str">
        <f t="shared" si="17"/>
        <v/>
      </c>
      <c r="E1043" s="35" t="str">
        <f t="shared" si="18"/>
        <v/>
      </c>
      <c r="F1043" s="35" t="str">
        <f t="shared" si="19"/>
        <v/>
      </c>
      <c r="G1043" s="35" t="str">
        <f t="shared" si="20"/>
        <v/>
      </c>
      <c r="H1043" s="49"/>
      <c r="I1043" s="47" t="str">
        <f t="shared" si="21"/>
        <v/>
      </c>
      <c r="J1043" s="50"/>
      <c r="K1043" s="45" t="b">
        <v>0</v>
      </c>
      <c r="L1043" s="45"/>
      <c r="M1043" s="45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</row>
    <row r="1044">
      <c r="A1044" s="16" t="str">
        <f t="shared" si="14"/>
        <v/>
      </c>
      <c r="B1044" s="16" t="str">
        <f t="shared" si="15"/>
        <v/>
      </c>
      <c r="C1044" s="35" t="str">
        <f t="shared" si="16"/>
        <v/>
      </c>
      <c r="D1044" s="35" t="str">
        <f t="shared" si="17"/>
        <v/>
      </c>
      <c r="E1044" s="35" t="str">
        <f t="shared" si="18"/>
        <v/>
      </c>
      <c r="F1044" s="35" t="str">
        <f t="shared" si="19"/>
        <v/>
      </c>
      <c r="G1044" s="35" t="str">
        <f t="shared" si="20"/>
        <v/>
      </c>
      <c r="H1044" s="49"/>
      <c r="I1044" s="47" t="str">
        <f t="shared" si="21"/>
        <v/>
      </c>
      <c r="J1044" s="50"/>
      <c r="K1044" s="45" t="b">
        <v>0</v>
      </c>
      <c r="L1044" s="45"/>
      <c r="M1044" s="45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46"/>
      <c r="BM1044" s="46"/>
      <c r="BN1044" s="46"/>
      <c r="BO1044" s="46"/>
    </row>
    <row r="1045">
      <c r="A1045" s="16" t="str">
        <f t="shared" si="14"/>
        <v/>
      </c>
      <c r="B1045" s="16" t="str">
        <f t="shared" si="15"/>
        <v/>
      </c>
      <c r="C1045" s="35" t="str">
        <f t="shared" si="16"/>
        <v/>
      </c>
      <c r="D1045" s="35" t="str">
        <f t="shared" si="17"/>
        <v/>
      </c>
      <c r="E1045" s="35" t="str">
        <f t="shared" si="18"/>
        <v/>
      </c>
      <c r="F1045" s="35" t="str">
        <f t="shared" si="19"/>
        <v/>
      </c>
      <c r="G1045" s="35" t="str">
        <f t="shared" si="20"/>
        <v/>
      </c>
      <c r="H1045" s="49"/>
      <c r="I1045" s="47" t="str">
        <f t="shared" si="21"/>
        <v/>
      </c>
      <c r="J1045" s="50"/>
      <c r="K1045" s="45" t="b">
        <v>0</v>
      </c>
      <c r="L1045" s="45"/>
      <c r="M1045" s="45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46"/>
      <c r="BM1045" s="46"/>
      <c r="BN1045" s="46"/>
      <c r="BO1045" s="46"/>
    </row>
    <row r="1046">
      <c r="A1046" s="16" t="str">
        <f t="shared" si="14"/>
        <v/>
      </c>
      <c r="B1046" s="16" t="str">
        <f t="shared" si="15"/>
        <v/>
      </c>
      <c r="C1046" s="35" t="str">
        <f t="shared" si="16"/>
        <v/>
      </c>
      <c r="D1046" s="35" t="str">
        <f t="shared" si="17"/>
        <v/>
      </c>
      <c r="E1046" s="35" t="str">
        <f t="shared" si="18"/>
        <v/>
      </c>
      <c r="F1046" s="35" t="str">
        <f t="shared" si="19"/>
        <v/>
      </c>
      <c r="G1046" s="35" t="str">
        <f t="shared" si="20"/>
        <v/>
      </c>
      <c r="H1046" s="49"/>
      <c r="I1046" s="47" t="str">
        <f t="shared" si="21"/>
        <v/>
      </c>
      <c r="J1046" s="50"/>
      <c r="K1046" s="45" t="b">
        <v>0</v>
      </c>
      <c r="L1046" s="45"/>
      <c r="M1046" s="45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</row>
    <row r="1047">
      <c r="A1047" s="16" t="str">
        <f t="shared" si="14"/>
        <v/>
      </c>
      <c r="B1047" s="16" t="str">
        <f t="shared" si="15"/>
        <v/>
      </c>
      <c r="C1047" s="35" t="str">
        <f t="shared" si="16"/>
        <v/>
      </c>
      <c r="D1047" s="35" t="str">
        <f t="shared" si="17"/>
        <v/>
      </c>
      <c r="E1047" s="35" t="str">
        <f t="shared" si="18"/>
        <v/>
      </c>
      <c r="F1047" s="35" t="str">
        <f t="shared" si="19"/>
        <v/>
      </c>
      <c r="G1047" s="35" t="str">
        <f t="shared" si="20"/>
        <v/>
      </c>
      <c r="H1047" s="49"/>
      <c r="I1047" s="47" t="str">
        <f t="shared" si="21"/>
        <v/>
      </c>
      <c r="J1047" s="50"/>
      <c r="K1047" s="45" t="b">
        <v>0</v>
      </c>
      <c r="L1047" s="45"/>
      <c r="M1047" s="45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</row>
    <row r="1048">
      <c r="A1048" s="16" t="str">
        <f t="shared" si="14"/>
        <v/>
      </c>
      <c r="B1048" s="16" t="str">
        <f t="shared" si="15"/>
        <v/>
      </c>
      <c r="C1048" s="35" t="str">
        <f t="shared" si="16"/>
        <v/>
      </c>
      <c r="D1048" s="35" t="str">
        <f t="shared" si="17"/>
        <v/>
      </c>
      <c r="E1048" s="35" t="str">
        <f t="shared" si="18"/>
        <v/>
      </c>
      <c r="F1048" s="35" t="str">
        <f t="shared" si="19"/>
        <v/>
      </c>
      <c r="G1048" s="35" t="str">
        <f t="shared" si="20"/>
        <v/>
      </c>
      <c r="H1048" s="49"/>
      <c r="I1048" s="47" t="str">
        <f t="shared" si="21"/>
        <v/>
      </c>
      <c r="J1048" s="50"/>
      <c r="K1048" s="45" t="b">
        <v>0</v>
      </c>
      <c r="L1048" s="45"/>
      <c r="M1048" s="45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</row>
    <row r="1049">
      <c r="A1049" s="16" t="str">
        <f t="shared" si="14"/>
        <v/>
      </c>
      <c r="B1049" s="16" t="str">
        <f t="shared" si="15"/>
        <v/>
      </c>
      <c r="C1049" s="35" t="str">
        <f t="shared" si="16"/>
        <v/>
      </c>
      <c r="D1049" s="35" t="str">
        <f t="shared" si="17"/>
        <v/>
      </c>
      <c r="E1049" s="35" t="str">
        <f t="shared" si="18"/>
        <v/>
      </c>
      <c r="F1049" s="35" t="str">
        <f t="shared" si="19"/>
        <v/>
      </c>
      <c r="G1049" s="35" t="str">
        <f t="shared" si="20"/>
        <v/>
      </c>
      <c r="H1049" s="49"/>
      <c r="I1049" s="47" t="str">
        <f t="shared" si="21"/>
        <v/>
      </c>
      <c r="J1049" s="50"/>
      <c r="K1049" s="45" t="b">
        <v>0</v>
      </c>
      <c r="L1049" s="45"/>
      <c r="M1049" s="45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</row>
    <row r="1050">
      <c r="A1050" s="16" t="str">
        <f t="shared" si="14"/>
        <v/>
      </c>
      <c r="B1050" s="16" t="str">
        <f t="shared" si="15"/>
        <v/>
      </c>
      <c r="C1050" s="35" t="str">
        <f t="shared" si="16"/>
        <v/>
      </c>
      <c r="D1050" s="35" t="str">
        <f t="shared" si="17"/>
        <v/>
      </c>
      <c r="E1050" s="35" t="str">
        <f t="shared" si="18"/>
        <v/>
      </c>
      <c r="F1050" s="35" t="str">
        <f t="shared" si="19"/>
        <v/>
      </c>
      <c r="G1050" s="35" t="str">
        <f t="shared" si="20"/>
        <v/>
      </c>
      <c r="H1050" s="49"/>
      <c r="I1050" s="47" t="str">
        <f t="shared" si="21"/>
        <v/>
      </c>
      <c r="J1050" s="50"/>
      <c r="K1050" s="45" t="b">
        <v>0</v>
      </c>
      <c r="L1050" s="45"/>
      <c r="M1050" s="45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</row>
    <row r="1051">
      <c r="A1051" s="16" t="str">
        <f t="shared" si="14"/>
        <v/>
      </c>
      <c r="B1051" s="16" t="str">
        <f t="shared" si="15"/>
        <v/>
      </c>
      <c r="C1051" s="35" t="str">
        <f t="shared" si="16"/>
        <v/>
      </c>
      <c r="D1051" s="35" t="str">
        <f t="shared" si="17"/>
        <v/>
      </c>
      <c r="E1051" s="35" t="str">
        <f t="shared" si="18"/>
        <v/>
      </c>
      <c r="F1051" s="35" t="str">
        <f t="shared" si="19"/>
        <v/>
      </c>
      <c r="G1051" s="35" t="str">
        <f t="shared" si="20"/>
        <v/>
      </c>
      <c r="H1051" s="49"/>
      <c r="I1051" s="47" t="str">
        <f t="shared" si="21"/>
        <v/>
      </c>
      <c r="J1051" s="50"/>
      <c r="K1051" s="45" t="b">
        <v>0</v>
      </c>
      <c r="L1051" s="45"/>
      <c r="M1051" s="45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</row>
    <row r="1052">
      <c r="A1052" s="16" t="str">
        <f t="shared" si="14"/>
        <v/>
      </c>
      <c r="B1052" s="16" t="str">
        <f t="shared" si="15"/>
        <v/>
      </c>
      <c r="C1052" s="35" t="str">
        <f t="shared" si="16"/>
        <v/>
      </c>
      <c r="D1052" s="35" t="str">
        <f t="shared" si="17"/>
        <v/>
      </c>
      <c r="E1052" s="35" t="str">
        <f t="shared" si="18"/>
        <v/>
      </c>
      <c r="F1052" s="35" t="str">
        <f t="shared" si="19"/>
        <v/>
      </c>
      <c r="G1052" s="35" t="str">
        <f t="shared" si="20"/>
        <v/>
      </c>
      <c r="H1052" s="49"/>
      <c r="I1052" s="47" t="str">
        <f t="shared" si="21"/>
        <v/>
      </c>
      <c r="J1052" s="50"/>
      <c r="K1052" s="45" t="b">
        <v>0</v>
      </c>
      <c r="L1052" s="45"/>
      <c r="M1052" s="45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</row>
    <row r="1053">
      <c r="A1053" s="16" t="str">
        <f t="shared" si="14"/>
        <v/>
      </c>
      <c r="B1053" s="16" t="str">
        <f t="shared" si="15"/>
        <v/>
      </c>
      <c r="C1053" s="35" t="str">
        <f t="shared" si="16"/>
        <v/>
      </c>
      <c r="D1053" s="35" t="str">
        <f t="shared" si="17"/>
        <v/>
      </c>
      <c r="E1053" s="35" t="str">
        <f t="shared" si="18"/>
        <v/>
      </c>
      <c r="F1053" s="35" t="str">
        <f t="shared" si="19"/>
        <v/>
      </c>
      <c r="G1053" s="35" t="str">
        <f t="shared" si="20"/>
        <v/>
      </c>
      <c r="H1053" s="49"/>
      <c r="I1053" s="47" t="str">
        <f t="shared" si="21"/>
        <v/>
      </c>
      <c r="J1053" s="50"/>
      <c r="K1053" s="45" t="b">
        <v>0</v>
      </c>
      <c r="L1053" s="45"/>
      <c r="M1053" s="45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</row>
    <row r="1054">
      <c r="A1054" s="16" t="str">
        <f t="shared" si="14"/>
        <v/>
      </c>
      <c r="B1054" s="16" t="str">
        <f t="shared" si="15"/>
        <v/>
      </c>
      <c r="C1054" s="35" t="str">
        <f t="shared" si="16"/>
        <v/>
      </c>
      <c r="D1054" s="35" t="str">
        <f t="shared" si="17"/>
        <v/>
      </c>
      <c r="E1054" s="35" t="str">
        <f t="shared" si="18"/>
        <v/>
      </c>
      <c r="F1054" s="35" t="str">
        <f t="shared" si="19"/>
        <v/>
      </c>
      <c r="G1054" s="35" t="str">
        <f t="shared" si="20"/>
        <v/>
      </c>
      <c r="H1054" s="49"/>
      <c r="I1054" s="47" t="str">
        <f t="shared" si="21"/>
        <v/>
      </c>
      <c r="J1054" s="50"/>
      <c r="K1054" s="45" t="b">
        <v>0</v>
      </c>
      <c r="L1054" s="45"/>
      <c r="M1054" s="45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</row>
    <row r="1055">
      <c r="A1055" s="16" t="str">
        <f t="shared" si="14"/>
        <v/>
      </c>
      <c r="B1055" s="16" t="str">
        <f t="shared" si="15"/>
        <v/>
      </c>
      <c r="C1055" s="35" t="str">
        <f t="shared" si="16"/>
        <v/>
      </c>
      <c r="D1055" s="35" t="str">
        <f t="shared" si="17"/>
        <v/>
      </c>
      <c r="E1055" s="35" t="str">
        <f t="shared" si="18"/>
        <v/>
      </c>
      <c r="F1055" s="35" t="str">
        <f t="shared" si="19"/>
        <v/>
      </c>
      <c r="G1055" s="35" t="str">
        <f t="shared" si="20"/>
        <v/>
      </c>
      <c r="H1055" s="49"/>
      <c r="I1055" s="47" t="str">
        <f t="shared" si="21"/>
        <v/>
      </c>
      <c r="J1055" s="50"/>
      <c r="K1055" s="45" t="b">
        <v>0</v>
      </c>
      <c r="L1055" s="45"/>
      <c r="M1055" s="45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</row>
    <row r="1056">
      <c r="A1056" s="16" t="str">
        <f t="shared" si="14"/>
        <v/>
      </c>
      <c r="B1056" s="16" t="str">
        <f t="shared" si="15"/>
        <v/>
      </c>
      <c r="C1056" s="35" t="str">
        <f t="shared" si="16"/>
        <v/>
      </c>
      <c r="D1056" s="35" t="str">
        <f t="shared" si="17"/>
        <v/>
      </c>
      <c r="E1056" s="35" t="str">
        <f t="shared" si="18"/>
        <v/>
      </c>
      <c r="F1056" s="35" t="str">
        <f t="shared" si="19"/>
        <v/>
      </c>
      <c r="G1056" s="35" t="str">
        <f t="shared" si="20"/>
        <v/>
      </c>
      <c r="H1056" s="49"/>
      <c r="I1056" s="47" t="str">
        <f t="shared" si="21"/>
        <v/>
      </c>
      <c r="J1056" s="50"/>
      <c r="K1056" s="45" t="b">
        <v>0</v>
      </c>
      <c r="L1056" s="45"/>
      <c r="M1056" s="45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</row>
    <row r="1057">
      <c r="A1057" s="16" t="str">
        <f t="shared" si="14"/>
        <v/>
      </c>
      <c r="B1057" s="16" t="str">
        <f t="shared" si="15"/>
        <v/>
      </c>
      <c r="C1057" s="35" t="str">
        <f t="shared" si="16"/>
        <v/>
      </c>
      <c r="D1057" s="35" t="str">
        <f t="shared" si="17"/>
        <v/>
      </c>
      <c r="E1057" s="35" t="str">
        <f t="shared" si="18"/>
        <v/>
      </c>
      <c r="F1057" s="35" t="str">
        <f t="shared" si="19"/>
        <v/>
      </c>
      <c r="G1057" s="35" t="str">
        <f t="shared" si="20"/>
        <v/>
      </c>
      <c r="H1057" s="49"/>
      <c r="I1057" s="47" t="str">
        <f t="shared" si="21"/>
        <v/>
      </c>
      <c r="J1057" s="50"/>
      <c r="K1057" s="45" t="b">
        <v>0</v>
      </c>
      <c r="L1057" s="45"/>
      <c r="M1057" s="45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</row>
    <row r="1058">
      <c r="A1058" s="16" t="str">
        <f t="shared" si="14"/>
        <v/>
      </c>
      <c r="B1058" s="16" t="str">
        <f t="shared" si="15"/>
        <v/>
      </c>
      <c r="C1058" s="35" t="str">
        <f t="shared" si="16"/>
        <v/>
      </c>
      <c r="D1058" s="35" t="str">
        <f t="shared" si="17"/>
        <v/>
      </c>
      <c r="E1058" s="35" t="str">
        <f t="shared" si="18"/>
        <v/>
      </c>
      <c r="F1058" s="35" t="str">
        <f t="shared" si="19"/>
        <v/>
      </c>
      <c r="G1058" s="35" t="str">
        <f t="shared" si="20"/>
        <v/>
      </c>
      <c r="H1058" s="49"/>
      <c r="I1058" s="47" t="str">
        <f t="shared" si="21"/>
        <v/>
      </c>
      <c r="J1058" s="50"/>
      <c r="K1058" s="45" t="b">
        <v>0</v>
      </c>
      <c r="L1058" s="45"/>
      <c r="M1058" s="45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</row>
    <row r="1059">
      <c r="A1059" s="16" t="str">
        <f t="shared" si="14"/>
        <v/>
      </c>
      <c r="B1059" s="16" t="str">
        <f t="shared" si="15"/>
        <v/>
      </c>
      <c r="C1059" s="35" t="str">
        <f t="shared" si="16"/>
        <v/>
      </c>
      <c r="D1059" s="35" t="str">
        <f t="shared" si="17"/>
        <v/>
      </c>
      <c r="E1059" s="35" t="str">
        <f t="shared" si="18"/>
        <v/>
      </c>
      <c r="F1059" s="35" t="str">
        <f t="shared" si="19"/>
        <v/>
      </c>
      <c r="G1059" s="35" t="str">
        <f t="shared" si="20"/>
        <v/>
      </c>
      <c r="H1059" s="49"/>
      <c r="I1059" s="47" t="str">
        <f t="shared" si="21"/>
        <v/>
      </c>
      <c r="J1059" s="50"/>
      <c r="K1059" s="45" t="b">
        <v>0</v>
      </c>
      <c r="L1059" s="45"/>
      <c r="M1059" s="45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</row>
    <row r="1060">
      <c r="A1060" s="16" t="str">
        <f t="shared" si="14"/>
        <v/>
      </c>
      <c r="B1060" s="16" t="str">
        <f t="shared" si="15"/>
        <v/>
      </c>
      <c r="C1060" s="35" t="str">
        <f t="shared" si="16"/>
        <v/>
      </c>
      <c r="D1060" s="35" t="str">
        <f t="shared" si="17"/>
        <v/>
      </c>
      <c r="E1060" s="35" t="str">
        <f t="shared" si="18"/>
        <v/>
      </c>
      <c r="F1060" s="35" t="str">
        <f t="shared" si="19"/>
        <v/>
      </c>
      <c r="G1060" s="35" t="str">
        <f t="shared" si="20"/>
        <v/>
      </c>
      <c r="H1060" s="49"/>
      <c r="I1060" s="47" t="str">
        <f t="shared" si="21"/>
        <v/>
      </c>
      <c r="J1060" s="50"/>
      <c r="K1060" s="45" t="b">
        <v>0</v>
      </c>
      <c r="L1060" s="45"/>
      <c r="M1060" s="45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</row>
    <row r="1061">
      <c r="A1061" s="16" t="str">
        <f t="shared" si="14"/>
        <v/>
      </c>
      <c r="B1061" s="16" t="str">
        <f t="shared" si="15"/>
        <v/>
      </c>
      <c r="C1061" s="35" t="str">
        <f t="shared" si="16"/>
        <v/>
      </c>
      <c r="D1061" s="35" t="str">
        <f t="shared" si="17"/>
        <v/>
      </c>
      <c r="E1061" s="35" t="str">
        <f t="shared" si="18"/>
        <v/>
      </c>
      <c r="F1061" s="35" t="str">
        <f t="shared" si="19"/>
        <v/>
      </c>
      <c r="G1061" s="35" t="str">
        <f t="shared" si="20"/>
        <v/>
      </c>
      <c r="H1061" s="49"/>
      <c r="I1061" s="47" t="str">
        <f t="shared" si="21"/>
        <v/>
      </c>
      <c r="J1061" s="50"/>
      <c r="K1061" s="45" t="b">
        <v>0</v>
      </c>
      <c r="L1061" s="45"/>
      <c r="M1061" s="45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</row>
    <row r="1062">
      <c r="A1062" s="16" t="str">
        <f t="shared" si="14"/>
        <v/>
      </c>
      <c r="B1062" s="16" t="str">
        <f t="shared" si="15"/>
        <v/>
      </c>
      <c r="C1062" s="35" t="str">
        <f t="shared" si="16"/>
        <v/>
      </c>
      <c r="D1062" s="35" t="str">
        <f t="shared" si="17"/>
        <v/>
      </c>
      <c r="E1062" s="35" t="str">
        <f t="shared" si="18"/>
        <v/>
      </c>
      <c r="F1062" s="35" t="str">
        <f t="shared" si="19"/>
        <v/>
      </c>
      <c r="G1062" s="35" t="str">
        <f t="shared" si="20"/>
        <v/>
      </c>
      <c r="H1062" s="49"/>
      <c r="I1062" s="47" t="str">
        <f t="shared" si="21"/>
        <v/>
      </c>
      <c r="J1062" s="50"/>
      <c r="K1062" s="45" t="b">
        <v>0</v>
      </c>
      <c r="L1062" s="45"/>
      <c r="M1062" s="45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</row>
    <row r="1063">
      <c r="A1063" s="16" t="str">
        <f t="shared" si="14"/>
        <v/>
      </c>
      <c r="B1063" s="16" t="str">
        <f t="shared" si="15"/>
        <v/>
      </c>
      <c r="C1063" s="35" t="str">
        <f t="shared" si="16"/>
        <v/>
      </c>
      <c r="D1063" s="35" t="str">
        <f t="shared" si="17"/>
        <v/>
      </c>
      <c r="E1063" s="35" t="str">
        <f t="shared" si="18"/>
        <v/>
      </c>
      <c r="F1063" s="35" t="str">
        <f t="shared" si="19"/>
        <v/>
      </c>
      <c r="G1063" s="35" t="str">
        <f t="shared" si="20"/>
        <v/>
      </c>
      <c r="H1063" s="49"/>
      <c r="I1063" s="47" t="str">
        <f t="shared" si="21"/>
        <v/>
      </c>
      <c r="J1063" s="50"/>
      <c r="K1063" s="45" t="b">
        <v>0</v>
      </c>
      <c r="L1063" s="45"/>
      <c r="M1063" s="45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</row>
    <row r="1064">
      <c r="A1064" s="16" t="str">
        <f t="shared" si="14"/>
        <v/>
      </c>
      <c r="B1064" s="16" t="str">
        <f t="shared" si="15"/>
        <v/>
      </c>
      <c r="C1064" s="35" t="str">
        <f t="shared" si="16"/>
        <v/>
      </c>
      <c r="D1064" s="35" t="str">
        <f t="shared" si="17"/>
        <v/>
      </c>
      <c r="E1064" s="35" t="str">
        <f t="shared" si="18"/>
        <v/>
      </c>
      <c r="F1064" s="35" t="str">
        <f t="shared" si="19"/>
        <v/>
      </c>
      <c r="G1064" s="35" t="str">
        <f t="shared" si="20"/>
        <v/>
      </c>
      <c r="H1064" s="49"/>
      <c r="I1064" s="47" t="str">
        <f t="shared" si="21"/>
        <v/>
      </c>
      <c r="J1064" s="50"/>
      <c r="K1064" s="45" t="b">
        <v>0</v>
      </c>
      <c r="L1064" s="45"/>
      <c r="M1064" s="45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</row>
    <row r="1065">
      <c r="A1065" s="16" t="str">
        <f t="shared" si="14"/>
        <v/>
      </c>
      <c r="B1065" s="16" t="str">
        <f t="shared" si="15"/>
        <v/>
      </c>
      <c r="C1065" s="35" t="str">
        <f t="shared" si="16"/>
        <v/>
      </c>
      <c r="D1065" s="35" t="str">
        <f t="shared" si="17"/>
        <v/>
      </c>
      <c r="E1065" s="35" t="str">
        <f t="shared" si="18"/>
        <v/>
      </c>
      <c r="F1065" s="35" t="str">
        <f t="shared" si="19"/>
        <v/>
      </c>
      <c r="G1065" s="35" t="str">
        <f t="shared" si="20"/>
        <v/>
      </c>
      <c r="H1065" s="49"/>
      <c r="I1065" s="47" t="str">
        <f t="shared" si="21"/>
        <v/>
      </c>
      <c r="J1065" s="50"/>
      <c r="K1065" s="45" t="b">
        <v>0</v>
      </c>
      <c r="L1065" s="45"/>
      <c r="M1065" s="45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</row>
    <row r="1066">
      <c r="A1066" s="16" t="str">
        <f t="shared" si="14"/>
        <v/>
      </c>
      <c r="B1066" s="16" t="str">
        <f t="shared" si="15"/>
        <v/>
      </c>
      <c r="C1066" s="35" t="str">
        <f t="shared" si="16"/>
        <v/>
      </c>
      <c r="D1066" s="35" t="str">
        <f t="shared" si="17"/>
        <v/>
      </c>
      <c r="E1066" s="35" t="str">
        <f t="shared" si="18"/>
        <v/>
      </c>
      <c r="F1066" s="35" t="str">
        <f t="shared" si="19"/>
        <v/>
      </c>
      <c r="G1066" s="35" t="str">
        <f t="shared" si="20"/>
        <v/>
      </c>
      <c r="H1066" s="49"/>
      <c r="I1066" s="47" t="str">
        <f t="shared" si="21"/>
        <v/>
      </c>
      <c r="J1066" s="50"/>
      <c r="K1066" s="45" t="b">
        <v>0</v>
      </c>
      <c r="L1066" s="45"/>
      <c r="M1066" s="45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</row>
    <row r="1067">
      <c r="A1067" s="16" t="str">
        <f t="shared" si="14"/>
        <v/>
      </c>
      <c r="B1067" s="16" t="str">
        <f t="shared" si="15"/>
        <v/>
      </c>
      <c r="C1067" s="35" t="str">
        <f t="shared" si="16"/>
        <v/>
      </c>
      <c r="D1067" s="35" t="str">
        <f t="shared" si="17"/>
        <v/>
      </c>
      <c r="E1067" s="35" t="str">
        <f t="shared" si="18"/>
        <v/>
      </c>
      <c r="F1067" s="35" t="str">
        <f t="shared" si="19"/>
        <v/>
      </c>
      <c r="G1067" s="35" t="str">
        <f t="shared" si="20"/>
        <v/>
      </c>
      <c r="H1067" s="49"/>
      <c r="I1067" s="47" t="str">
        <f t="shared" si="21"/>
        <v/>
      </c>
      <c r="J1067" s="50"/>
      <c r="K1067" s="45" t="b">
        <v>0</v>
      </c>
      <c r="L1067" s="45"/>
      <c r="M1067" s="45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</row>
    <row r="1068">
      <c r="A1068" s="16" t="str">
        <f t="shared" si="14"/>
        <v/>
      </c>
      <c r="B1068" s="16" t="str">
        <f t="shared" si="15"/>
        <v/>
      </c>
      <c r="C1068" s="35" t="str">
        <f t="shared" si="16"/>
        <v/>
      </c>
      <c r="D1068" s="35" t="str">
        <f t="shared" si="17"/>
        <v/>
      </c>
      <c r="E1068" s="35" t="str">
        <f t="shared" si="18"/>
        <v/>
      </c>
      <c r="F1068" s="35" t="str">
        <f t="shared" si="19"/>
        <v/>
      </c>
      <c r="G1068" s="35" t="str">
        <f t="shared" si="20"/>
        <v/>
      </c>
      <c r="H1068" s="49"/>
      <c r="I1068" s="47" t="str">
        <f t="shared" si="21"/>
        <v/>
      </c>
      <c r="J1068" s="50"/>
      <c r="K1068" s="45" t="b">
        <v>0</v>
      </c>
      <c r="L1068" s="45"/>
      <c r="M1068" s="45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</row>
    <row r="1069">
      <c r="A1069" s="16" t="str">
        <f t="shared" si="14"/>
        <v/>
      </c>
      <c r="B1069" s="16" t="str">
        <f t="shared" si="15"/>
        <v/>
      </c>
      <c r="C1069" s="35" t="str">
        <f t="shared" si="16"/>
        <v/>
      </c>
      <c r="D1069" s="35" t="str">
        <f t="shared" si="17"/>
        <v/>
      </c>
      <c r="E1069" s="35" t="str">
        <f t="shared" si="18"/>
        <v/>
      </c>
      <c r="F1069" s="35" t="str">
        <f t="shared" si="19"/>
        <v/>
      </c>
      <c r="G1069" s="35" t="str">
        <f t="shared" si="20"/>
        <v/>
      </c>
      <c r="H1069" s="49"/>
      <c r="I1069" s="47" t="str">
        <f t="shared" si="21"/>
        <v/>
      </c>
      <c r="J1069" s="50"/>
      <c r="K1069" s="45" t="b">
        <v>0</v>
      </c>
      <c r="L1069" s="45"/>
      <c r="M1069" s="45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</row>
    <row r="1070">
      <c r="A1070" s="16" t="str">
        <f t="shared" si="14"/>
        <v/>
      </c>
      <c r="B1070" s="16" t="str">
        <f t="shared" si="15"/>
        <v/>
      </c>
      <c r="C1070" s="35" t="str">
        <f t="shared" si="16"/>
        <v/>
      </c>
      <c r="D1070" s="35" t="str">
        <f t="shared" si="17"/>
        <v/>
      </c>
      <c r="E1070" s="35" t="str">
        <f t="shared" si="18"/>
        <v/>
      </c>
      <c r="F1070" s="35" t="str">
        <f t="shared" si="19"/>
        <v/>
      </c>
      <c r="G1070" s="35" t="str">
        <f t="shared" si="20"/>
        <v/>
      </c>
      <c r="H1070" s="49"/>
      <c r="I1070" s="47" t="str">
        <f t="shared" si="21"/>
        <v/>
      </c>
      <c r="J1070" s="50"/>
      <c r="K1070" s="45" t="b">
        <v>0</v>
      </c>
      <c r="L1070" s="45"/>
      <c r="M1070" s="45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</row>
    <row r="1071">
      <c r="A1071" s="16" t="str">
        <f t="shared" si="14"/>
        <v/>
      </c>
      <c r="B1071" s="16" t="str">
        <f t="shared" si="15"/>
        <v/>
      </c>
      <c r="C1071" s="35" t="str">
        <f t="shared" si="16"/>
        <v/>
      </c>
      <c r="D1071" s="35" t="str">
        <f t="shared" si="17"/>
        <v/>
      </c>
      <c r="E1071" s="35" t="str">
        <f t="shared" si="18"/>
        <v/>
      </c>
      <c r="F1071" s="35" t="str">
        <f t="shared" si="19"/>
        <v/>
      </c>
      <c r="G1071" s="35" t="str">
        <f t="shared" si="20"/>
        <v/>
      </c>
      <c r="H1071" s="49"/>
      <c r="I1071" s="47" t="str">
        <f t="shared" si="21"/>
        <v/>
      </c>
      <c r="J1071" s="50"/>
      <c r="K1071" s="45" t="b">
        <v>0</v>
      </c>
      <c r="L1071" s="45"/>
      <c r="M1071" s="45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</row>
    <row r="1072">
      <c r="A1072" s="16" t="str">
        <f t="shared" si="14"/>
        <v/>
      </c>
      <c r="B1072" s="16" t="str">
        <f t="shared" si="15"/>
        <v/>
      </c>
      <c r="C1072" s="35" t="str">
        <f t="shared" si="16"/>
        <v/>
      </c>
      <c r="D1072" s="35" t="str">
        <f t="shared" si="17"/>
        <v/>
      </c>
      <c r="E1072" s="35" t="str">
        <f t="shared" si="18"/>
        <v/>
      </c>
      <c r="F1072" s="35" t="str">
        <f t="shared" si="19"/>
        <v/>
      </c>
      <c r="G1072" s="35" t="str">
        <f t="shared" si="20"/>
        <v/>
      </c>
      <c r="H1072" s="49"/>
      <c r="I1072" s="47" t="str">
        <f t="shared" si="21"/>
        <v/>
      </c>
      <c r="J1072" s="50"/>
      <c r="K1072" s="45" t="b">
        <v>0</v>
      </c>
      <c r="L1072" s="45"/>
      <c r="M1072" s="45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</row>
    <row r="1073">
      <c r="A1073" s="16" t="str">
        <f t="shared" si="14"/>
        <v/>
      </c>
      <c r="B1073" s="16" t="str">
        <f t="shared" si="15"/>
        <v/>
      </c>
      <c r="C1073" s="35" t="str">
        <f t="shared" si="16"/>
        <v/>
      </c>
      <c r="D1073" s="35" t="str">
        <f t="shared" si="17"/>
        <v/>
      </c>
      <c r="E1073" s="35" t="str">
        <f t="shared" si="18"/>
        <v/>
      </c>
      <c r="F1073" s="35" t="str">
        <f t="shared" si="19"/>
        <v/>
      </c>
      <c r="G1073" s="35" t="str">
        <f t="shared" si="20"/>
        <v/>
      </c>
      <c r="H1073" s="49"/>
      <c r="I1073" s="47" t="str">
        <f t="shared" si="21"/>
        <v/>
      </c>
      <c r="J1073" s="50"/>
      <c r="K1073" s="45" t="b">
        <v>0</v>
      </c>
      <c r="L1073" s="45"/>
      <c r="M1073" s="45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</row>
    <row r="1074">
      <c r="A1074" s="16" t="str">
        <f t="shared" si="14"/>
        <v/>
      </c>
      <c r="B1074" s="16" t="str">
        <f t="shared" si="15"/>
        <v/>
      </c>
      <c r="C1074" s="35" t="str">
        <f t="shared" si="16"/>
        <v/>
      </c>
      <c r="D1074" s="35" t="str">
        <f t="shared" si="17"/>
        <v/>
      </c>
      <c r="E1074" s="35" t="str">
        <f t="shared" si="18"/>
        <v/>
      </c>
      <c r="F1074" s="35" t="str">
        <f t="shared" si="19"/>
        <v/>
      </c>
      <c r="G1074" s="35" t="str">
        <f t="shared" si="20"/>
        <v/>
      </c>
      <c r="H1074" s="49"/>
      <c r="I1074" s="47" t="str">
        <f t="shared" si="21"/>
        <v/>
      </c>
      <c r="J1074" s="50"/>
      <c r="K1074" s="45" t="b">
        <v>0</v>
      </c>
      <c r="L1074" s="45"/>
      <c r="M1074" s="45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</row>
    <row r="1075">
      <c r="A1075" s="16" t="str">
        <f t="shared" si="14"/>
        <v/>
      </c>
      <c r="B1075" s="16" t="str">
        <f t="shared" si="15"/>
        <v/>
      </c>
      <c r="C1075" s="35" t="str">
        <f t="shared" si="16"/>
        <v/>
      </c>
      <c r="D1075" s="35" t="str">
        <f t="shared" si="17"/>
        <v/>
      </c>
      <c r="E1075" s="35" t="str">
        <f t="shared" si="18"/>
        <v/>
      </c>
      <c r="F1075" s="35" t="str">
        <f t="shared" si="19"/>
        <v/>
      </c>
      <c r="G1075" s="35" t="str">
        <f t="shared" si="20"/>
        <v/>
      </c>
      <c r="H1075" s="49"/>
      <c r="I1075" s="47" t="str">
        <f t="shared" si="21"/>
        <v/>
      </c>
      <c r="J1075" s="50"/>
      <c r="K1075" s="45" t="b">
        <v>0</v>
      </c>
      <c r="L1075" s="45"/>
      <c r="M1075" s="45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</row>
    <row r="1076">
      <c r="A1076" s="16" t="str">
        <f t="shared" si="14"/>
        <v/>
      </c>
      <c r="B1076" s="16" t="str">
        <f t="shared" si="15"/>
        <v/>
      </c>
      <c r="C1076" s="35" t="str">
        <f t="shared" si="16"/>
        <v/>
      </c>
      <c r="D1076" s="35" t="str">
        <f t="shared" si="17"/>
        <v/>
      </c>
      <c r="E1076" s="35" t="str">
        <f t="shared" si="18"/>
        <v/>
      </c>
      <c r="F1076" s="35" t="str">
        <f t="shared" si="19"/>
        <v/>
      </c>
      <c r="G1076" s="35" t="str">
        <f t="shared" si="20"/>
        <v/>
      </c>
      <c r="H1076" s="49"/>
      <c r="I1076" s="47" t="str">
        <f t="shared" si="21"/>
        <v/>
      </c>
      <c r="J1076" s="50"/>
      <c r="K1076" s="45" t="b">
        <v>0</v>
      </c>
      <c r="L1076" s="45"/>
      <c r="M1076" s="45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</row>
    <row r="1077">
      <c r="A1077" s="16" t="str">
        <f t="shared" si="14"/>
        <v/>
      </c>
      <c r="B1077" s="16" t="str">
        <f t="shared" si="15"/>
        <v/>
      </c>
      <c r="C1077" s="35" t="str">
        <f t="shared" si="16"/>
        <v/>
      </c>
      <c r="D1077" s="35" t="str">
        <f t="shared" si="17"/>
        <v/>
      </c>
      <c r="E1077" s="35" t="str">
        <f t="shared" si="18"/>
        <v/>
      </c>
      <c r="F1077" s="35" t="str">
        <f t="shared" si="19"/>
        <v/>
      </c>
      <c r="G1077" s="35" t="str">
        <f t="shared" si="20"/>
        <v/>
      </c>
      <c r="H1077" s="49"/>
      <c r="I1077" s="47" t="str">
        <f t="shared" si="21"/>
        <v/>
      </c>
      <c r="J1077" s="50"/>
      <c r="K1077" s="45" t="b">
        <v>0</v>
      </c>
      <c r="L1077" s="45"/>
      <c r="M1077" s="45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</row>
    <row r="1078">
      <c r="A1078" s="16" t="str">
        <f t="shared" si="14"/>
        <v/>
      </c>
      <c r="B1078" s="16" t="str">
        <f t="shared" si="15"/>
        <v/>
      </c>
      <c r="C1078" s="35" t="str">
        <f t="shared" si="16"/>
        <v/>
      </c>
      <c r="D1078" s="35" t="str">
        <f t="shared" si="17"/>
        <v/>
      </c>
      <c r="E1078" s="35" t="str">
        <f t="shared" si="18"/>
        <v/>
      </c>
      <c r="F1078" s="35" t="str">
        <f t="shared" si="19"/>
        <v/>
      </c>
      <c r="G1078" s="35" t="str">
        <f t="shared" si="20"/>
        <v/>
      </c>
      <c r="H1078" s="49"/>
      <c r="I1078" s="47" t="str">
        <f t="shared" si="21"/>
        <v/>
      </c>
      <c r="J1078" s="50"/>
      <c r="K1078" s="45" t="b">
        <v>0</v>
      </c>
      <c r="L1078" s="45"/>
      <c r="M1078" s="45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</row>
    <row r="1079">
      <c r="A1079" s="16" t="str">
        <f t="shared" si="14"/>
        <v/>
      </c>
      <c r="B1079" s="16" t="str">
        <f t="shared" si="15"/>
        <v/>
      </c>
      <c r="C1079" s="35" t="str">
        <f t="shared" si="16"/>
        <v/>
      </c>
      <c r="D1079" s="35" t="str">
        <f t="shared" si="17"/>
        <v/>
      </c>
      <c r="E1079" s="35" t="str">
        <f t="shared" si="18"/>
        <v/>
      </c>
      <c r="F1079" s="35" t="str">
        <f t="shared" si="19"/>
        <v/>
      </c>
      <c r="G1079" s="35" t="str">
        <f t="shared" si="20"/>
        <v/>
      </c>
      <c r="H1079" s="49"/>
      <c r="I1079" s="47" t="str">
        <f t="shared" si="21"/>
        <v/>
      </c>
      <c r="J1079" s="50"/>
      <c r="K1079" s="45" t="b">
        <v>0</v>
      </c>
      <c r="L1079" s="45"/>
      <c r="M1079" s="45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</row>
    <row r="1080">
      <c r="A1080" s="16" t="str">
        <f t="shared" si="14"/>
        <v/>
      </c>
      <c r="B1080" s="16" t="str">
        <f t="shared" si="15"/>
        <v/>
      </c>
      <c r="C1080" s="35" t="str">
        <f t="shared" si="16"/>
        <v/>
      </c>
      <c r="D1080" s="35" t="str">
        <f t="shared" si="17"/>
        <v/>
      </c>
      <c r="E1080" s="35" t="str">
        <f t="shared" si="18"/>
        <v/>
      </c>
      <c r="F1080" s="35" t="str">
        <f t="shared" si="19"/>
        <v/>
      </c>
      <c r="G1080" s="35" t="str">
        <f t="shared" si="20"/>
        <v/>
      </c>
      <c r="H1080" s="49"/>
      <c r="I1080" s="47" t="str">
        <f t="shared" si="21"/>
        <v/>
      </c>
      <c r="J1080" s="50"/>
      <c r="K1080" s="45" t="b">
        <v>0</v>
      </c>
      <c r="L1080" s="45"/>
      <c r="M1080" s="45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46"/>
      <c r="BN1080" s="46"/>
      <c r="BO1080" s="46"/>
    </row>
    <row r="1081">
      <c r="A1081" s="16" t="str">
        <f t="shared" si="14"/>
        <v/>
      </c>
      <c r="B1081" s="16" t="str">
        <f t="shared" si="15"/>
        <v/>
      </c>
      <c r="C1081" s="35" t="str">
        <f t="shared" si="16"/>
        <v/>
      </c>
      <c r="D1081" s="35" t="str">
        <f t="shared" si="17"/>
        <v/>
      </c>
      <c r="E1081" s="35" t="str">
        <f t="shared" si="18"/>
        <v/>
      </c>
      <c r="F1081" s="35" t="str">
        <f t="shared" si="19"/>
        <v/>
      </c>
      <c r="G1081" s="35" t="str">
        <f t="shared" si="20"/>
        <v/>
      </c>
      <c r="H1081" s="49"/>
      <c r="I1081" s="47" t="str">
        <f t="shared" si="21"/>
        <v/>
      </c>
      <c r="J1081" s="50"/>
      <c r="K1081" s="45" t="b">
        <v>0</v>
      </c>
      <c r="L1081" s="45"/>
      <c r="M1081" s="45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6"/>
      <c r="AH1081" s="26"/>
      <c r="AI1081" s="26"/>
      <c r="AJ1081" s="26"/>
      <c r="AK1081" s="2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</row>
    <row r="1082">
      <c r="A1082" s="16" t="str">
        <f t="shared" si="14"/>
        <v/>
      </c>
      <c r="B1082" s="16" t="str">
        <f t="shared" si="15"/>
        <v/>
      </c>
      <c r="C1082" s="35" t="str">
        <f t="shared" si="16"/>
        <v/>
      </c>
      <c r="D1082" s="35" t="str">
        <f t="shared" si="17"/>
        <v/>
      </c>
      <c r="E1082" s="35" t="str">
        <f t="shared" si="18"/>
        <v/>
      </c>
      <c r="F1082" s="35" t="str">
        <f t="shared" si="19"/>
        <v/>
      </c>
      <c r="G1082" s="35" t="str">
        <f t="shared" si="20"/>
        <v/>
      </c>
      <c r="H1082" s="49"/>
      <c r="I1082" s="47" t="str">
        <f t="shared" si="21"/>
        <v/>
      </c>
      <c r="J1082" s="50"/>
      <c r="K1082" s="45" t="b">
        <v>0</v>
      </c>
      <c r="L1082" s="45"/>
      <c r="M1082" s="45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6"/>
      <c r="AH1082" s="26"/>
      <c r="AI1082" s="26"/>
      <c r="AJ1082" s="26"/>
      <c r="AK1082" s="2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</row>
    <row r="1083">
      <c r="A1083" s="16" t="str">
        <f t="shared" si="14"/>
        <v/>
      </c>
      <c r="B1083" s="16" t="str">
        <f t="shared" si="15"/>
        <v/>
      </c>
      <c r="C1083" s="35" t="str">
        <f t="shared" si="16"/>
        <v/>
      </c>
      <c r="D1083" s="35" t="str">
        <f t="shared" si="17"/>
        <v/>
      </c>
      <c r="E1083" s="35" t="str">
        <f t="shared" si="18"/>
        <v/>
      </c>
      <c r="F1083" s="35" t="str">
        <f t="shared" si="19"/>
        <v/>
      </c>
      <c r="G1083" s="35" t="str">
        <f t="shared" si="20"/>
        <v/>
      </c>
      <c r="H1083" s="49"/>
      <c r="I1083" s="47" t="str">
        <f t="shared" si="21"/>
        <v/>
      </c>
      <c r="J1083" s="50"/>
      <c r="K1083" s="45" t="b">
        <v>0</v>
      </c>
      <c r="L1083" s="45"/>
      <c r="M1083" s="45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6"/>
      <c r="AH1083" s="26"/>
      <c r="AI1083" s="26"/>
      <c r="AJ1083" s="26"/>
      <c r="AK1083" s="2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</row>
    <row r="1084">
      <c r="A1084" s="16" t="str">
        <f t="shared" si="14"/>
        <v/>
      </c>
      <c r="B1084" s="16" t="str">
        <f t="shared" si="15"/>
        <v/>
      </c>
      <c r="C1084" s="35" t="str">
        <f t="shared" si="16"/>
        <v/>
      </c>
      <c r="D1084" s="35" t="str">
        <f t="shared" si="17"/>
        <v/>
      </c>
      <c r="E1084" s="35" t="str">
        <f t="shared" si="18"/>
        <v/>
      </c>
      <c r="F1084" s="35" t="str">
        <f t="shared" si="19"/>
        <v/>
      </c>
      <c r="G1084" s="35" t="str">
        <f t="shared" si="20"/>
        <v/>
      </c>
      <c r="H1084" s="49"/>
      <c r="I1084" s="47" t="str">
        <f t="shared" si="21"/>
        <v/>
      </c>
      <c r="J1084" s="50"/>
      <c r="K1084" s="45" t="b">
        <v>0</v>
      </c>
      <c r="L1084" s="45"/>
      <c r="M1084" s="45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</row>
    <row r="1085">
      <c r="A1085" s="16" t="str">
        <f t="shared" si="14"/>
        <v/>
      </c>
      <c r="B1085" s="16" t="str">
        <f t="shared" si="15"/>
        <v/>
      </c>
      <c r="C1085" s="35" t="str">
        <f t="shared" si="16"/>
        <v/>
      </c>
      <c r="D1085" s="35" t="str">
        <f t="shared" si="17"/>
        <v/>
      </c>
      <c r="E1085" s="35" t="str">
        <f t="shared" si="18"/>
        <v/>
      </c>
      <c r="F1085" s="35" t="str">
        <f t="shared" si="19"/>
        <v/>
      </c>
      <c r="G1085" s="35" t="str">
        <f t="shared" si="20"/>
        <v/>
      </c>
      <c r="H1085" s="49"/>
      <c r="I1085" s="47" t="str">
        <f t="shared" si="21"/>
        <v/>
      </c>
      <c r="J1085" s="50"/>
      <c r="K1085" s="45" t="b">
        <v>0</v>
      </c>
      <c r="L1085" s="45"/>
      <c r="M1085" s="45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</row>
    <row r="1086">
      <c r="A1086" s="16" t="str">
        <f t="shared" si="14"/>
        <v/>
      </c>
      <c r="B1086" s="16" t="str">
        <f t="shared" si="15"/>
        <v/>
      </c>
      <c r="C1086" s="35" t="str">
        <f t="shared" si="16"/>
        <v/>
      </c>
      <c r="D1086" s="35" t="str">
        <f t="shared" si="17"/>
        <v/>
      </c>
      <c r="E1086" s="35" t="str">
        <f t="shared" si="18"/>
        <v/>
      </c>
      <c r="F1086" s="35" t="str">
        <f t="shared" si="19"/>
        <v/>
      </c>
      <c r="G1086" s="35" t="str">
        <f t="shared" si="20"/>
        <v/>
      </c>
      <c r="H1086" s="49"/>
      <c r="I1086" s="47" t="str">
        <f t="shared" si="21"/>
        <v/>
      </c>
      <c r="J1086" s="50"/>
      <c r="K1086" s="45" t="b">
        <v>0</v>
      </c>
      <c r="L1086" s="45"/>
      <c r="M1086" s="45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</row>
    <row r="1087">
      <c r="A1087" s="16" t="str">
        <f t="shared" si="14"/>
        <v/>
      </c>
      <c r="B1087" s="16" t="str">
        <f t="shared" si="15"/>
        <v/>
      </c>
      <c r="C1087" s="35" t="str">
        <f t="shared" si="16"/>
        <v/>
      </c>
      <c r="D1087" s="35" t="str">
        <f t="shared" si="17"/>
        <v/>
      </c>
      <c r="E1087" s="35" t="str">
        <f t="shared" si="18"/>
        <v/>
      </c>
      <c r="F1087" s="35" t="str">
        <f t="shared" si="19"/>
        <v/>
      </c>
      <c r="G1087" s="35" t="str">
        <f t="shared" si="20"/>
        <v/>
      </c>
      <c r="H1087" s="49"/>
      <c r="I1087" s="47" t="str">
        <f t="shared" si="21"/>
        <v/>
      </c>
      <c r="J1087" s="50"/>
      <c r="K1087" s="45" t="b">
        <v>0</v>
      </c>
      <c r="L1087" s="45"/>
      <c r="M1087" s="45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</row>
    <row r="1088">
      <c r="A1088" s="16" t="str">
        <f t="shared" si="14"/>
        <v/>
      </c>
      <c r="B1088" s="16" t="str">
        <f t="shared" si="15"/>
        <v/>
      </c>
      <c r="C1088" s="35" t="str">
        <f t="shared" si="16"/>
        <v/>
      </c>
      <c r="D1088" s="35" t="str">
        <f t="shared" si="17"/>
        <v/>
      </c>
      <c r="E1088" s="35" t="str">
        <f t="shared" si="18"/>
        <v/>
      </c>
      <c r="F1088" s="35" t="str">
        <f t="shared" si="19"/>
        <v/>
      </c>
      <c r="G1088" s="35" t="str">
        <f t="shared" si="20"/>
        <v/>
      </c>
      <c r="H1088" s="49"/>
      <c r="I1088" s="47" t="str">
        <f t="shared" si="21"/>
        <v/>
      </c>
      <c r="J1088" s="50"/>
      <c r="K1088" s="45" t="b">
        <v>0</v>
      </c>
      <c r="L1088" s="45"/>
      <c r="M1088" s="45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46"/>
      <c r="BM1088" s="46"/>
      <c r="BN1088" s="46"/>
      <c r="BO1088" s="46"/>
    </row>
    <row r="1089">
      <c r="A1089" s="16" t="str">
        <f t="shared" si="14"/>
        <v/>
      </c>
      <c r="B1089" s="16" t="str">
        <f t="shared" si="15"/>
        <v/>
      </c>
      <c r="C1089" s="35" t="str">
        <f t="shared" si="16"/>
        <v/>
      </c>
      <c r="D1089" s="35" t="str">
        <f t="shared" si="17"/>
        <v/>
      </c>
      <c r="E1089" s="35" t="str">
        <f t="shared" si="18"/>
        <v/>
      </c>
      <c r="F1089" s="35" t="str">
        <f t="shared" si="19"/>
        <v/>
      </c>
      <c r="G1089" s="35" t="str">
        <f t="shared" si="20"/>
        <v/>
      </c>
      <c r="H1089" s="49"/>
      <c r="I1089" s="47" t="str">
        <f t="shared" si="21"/>
        <v/>
      </c>
      <c r="J1089" s="50"/>
      <c r="K1089" s="45" t="b">
        <v>0</v>
      </c>
      <c r="L1089" s="45"/>
      <c r="M1089" s="45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</row>
    <row r="1090">
      <c r="A1090" s="16" t="str">
        <f t="shared" si="14"/>
        <v/>
      </c>
      <c r="B1090" s="16" t="str">
        <f t="shared" si="15"/>
        <v/>
      </c>
      <c r="C1090" s="35" t="str">
        <f t="shared" si="16"/>
        <v/>
      </c>
      <c r="D1090" s="35" t="str">
        <f t="shared" si="17"/>
        <v/>
      </c>
      <c r="E1090" s="35" t="str">
        <f t="shared" si="18"/>
        <v/>
      </c>
      <c r="F1090" s="35" t="str">
        <f t="shared" si="19"/>
        <v/>
      </c>
      <c r="G1090" s="35" t="str">
        <f t="shared" si="20"/>
        <v/>
      </c>
      <c r="H1090" s="49"/>
      <c r="I1090" s="47" t="str">
        <f t="shared" si="21"/>
        <v/>
      </c>
      <c r="J1090" s="50"/>
      <c r="K1090" s="45" t="b">
        <v>0</v>
      </c>
      <c r="L1090" s="45"/>
      <c r="M1090" s="45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</row>
    <row r="1091">
      <c r="A1091" s="16" t="str">
        <f t="shared" si="14"/>
        <v/>
      </c>
      <c r="B1091" s="16" t="str">
        <f t="shared" si="15"/>
        <v/>
      </c>
      <c r="C1091" s="35" t="str">
        <f t="shared" si="16"/>
        <v/>
      </c>
      <c r="D1091" s="35" t="str">
        <f t="shared" si="17"/>
        <v/>
      </c>
      <c r="E1091" s="35" t="str">
        <f t="shared" si="18"/>
        <v/>
      </c>
      <c r="F1091" s="35" t="str">
        <f t="shared" si="19"/>
        <v/>
      </c>
      <c r="G1091" s="35" t="str">
        <f t="shared" si="20"/>
        <v/>
      </c>
      <c r="H1091" s="49"/>
      <c r="I1091" s="47" t="str">
        <f t="shared" si="21"/>
        <v/>
      </c>
      <c r="J1091" s="50"/>
      <c r="K1091" s="45" t="b">
        <v>0</v>
      </c>
      <c r="L1091" s="45"/>
      <c r="M1091" s="45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</row>
    <row r="1092">
      <c r="A1092" s="16" t="str">
        <f t="shared" si="14"/>
        <v/>
      </c>
      <c r="B1092" s="16" t="str">
        <f t="shared" si="15"/>
        <v/>
      </c>
      <c r="C1092" s="35" t="str">
        <f t="shared" si="16"/>
        <v/>
      </c>
      <c r="D1092" s="35" t="str">
        <f t="shared" si="17"/>
        <v/>
      </c>
      <c r="E1092" s="35" t="str">
        <f t="shared" si="18"/>
        <v/>
      </c>
      <c r="F1092" s="35" t="str">
        <f t="shared" si="19"/>
        <v/>
      </c>
      <c r="G1092" s="35" t="str">
        <f t="shared" si="20"/>
        <v/>
      </c>
      <c r="H1092" s="49"/>
      <c r="I1092" s="47" t="str">
        <f t="shared" si="21"/>
        <v/>
      </c>
      <c r="J1092" s="50"/>
      <c r="K1092" s="45" t="b">
        <v>0</v>
      </c>
      <c r="L1092" s="45"/>
      <c r="M1092" s="45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</row>
    <row r="1093">
      <c r="A1093" s="16" t="str">
        <f t="shared" si="14"/>
        <v/>
      </c>
      <c r="B1093" s="16" t="str">
        <f t="shared" si="15"/>
        <v/>
      </c>
      <c r="C1093" s="35" t="str">
        <f t="shared" si="16"/>
        <v/>
      </c>
      <c r="D1093" s="35" t="str">
        <f t="shared" si="17"/>
        <v/>
      </c>
      <c r="E1093" s="35" t="str">
        <f t="shared" si="18"/>
        <v/>
      </c>
      <c r="F1093" s="35" t="str">
        <f t="shared" si="19"/>
        <v/>
      </c>
      <c r="G1093" s="35" t="str">
        <f t="shared" si="20"/>
        <v/>
      </c>
      <c r="H1093" s="49"/>
      <c r="I1093" s="47" t="str">
        <f t="shared" si="21"/>
        <v/>
      </c>
      <c r="J1093" s="50"/>
      <c r="K1093" s="45" t="b">
        <v>0</v>
      </c>
      <c r="L1093" s="45"/>
      <c r="M1093" s="45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</row>
    <row r="1094">
      <c r="A1094" s="16" t="str">
        <f t="shared" si="14"/>
        <v/>
      </c>
      <c r="B1094" s="16" t="str">
        <f t="shared" si="15"/>
        <v/>
      </c>
      <c r="C1094" s="35" t="str">
        <f t="shared" si="16"/>
        <v/>
      </c>
      <c r="D1094" s="35" t="str">
        <f t="shared" si="17"/>
        <v/>
      </c>
      <c r="E1094" s="35" t="str">
        <f t="shared" si="18"/>
        <v/>
      </c>
      <c r="F1094" s="35" t="str">
        <f t="shared" si="19"/>
        <v/>
      </c>
      <c r="G1094" s="35" t="str">
        <f t="shared" si="20"/>
        <v/>
      </c>
      <c r="H1094" s="49"/>
      <c r="I1094" s="47" t="str">
        <f t="shared" si="21"/>
        <v/>
      </c>
      <c r="J1094" s="50"/>
      <c r="K1094" s="45" t="b">
        <v>0</v>
      </c>
      <c r="L1094" s="45"/>
      <c r="M1094" s="45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</row>
    <row r="1095">
      <c r="A1095" s="16" t="str">
        <f t="shared" si="14"/>
        <v/>
      </c>
      <c r="B1095" s="16" t="str">
        <f t="shared" si="15"/>
        <v/>
      </c>
      <c r="C1095" s="35" t="str">
        <f t="shared" si="16"/>
        <v/>
      </c>
      <c r="D1095" s="35" t="str">
        <f t="shared" si="17"/>
        <v/>
      </c>
      <c r="E1095" s="35" t="str">
        <f t="shared" si="18"/>
        <v/>
      </c>
      <c r="F1095" s="35" t="str">
        <f t="shared" si="19"/>
        <v/>
      </c>
      <c r="G1095" s="35" t="str">
        <f t="shared" si="20"/>
        <v/>
      </c>
      <c r="H1095" s="49"/>
      <c r="I1095" s="47" t="str">
        <f t="shared" si="21"/>
        <v/>
      </c>
      <c r="J1095" s="50"/>
      <c r="K1095" s="45" t="b">
        <v>0</v>
      </c>
      <c r="L1095" s="45"/>
      <c r="M1095" s="45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</row>
    <row r="1096">
      <c r="A1096" s="16" t="str">
        <f t="shared" si="14"/>
        <v/>
      </c>
      <c r="B1096" s="16" t="str">
        <f t="shared" si="15"/>
        <v/>
      </c>
      <c r="C1096" s="35" t="str">
        <f t="shared" si="16"/>
        <v/>
      </c>
      <c r="D1096" s="35" t="str">
        <f t="shared" si="17"/>
        <v/>
      </c>
      <c r="E1096" s="35" t="str">
        <f t="shared" si="18"/>
        <v/>
      </c>
      <c r="F1096" s="35" t="str">
        <f t="shared" si="19"/>
        <v/>
      </c>
      <c r="G1096" s="35" t="str">
        <f t="shared" si="20"/>
        <v/>
      </c>
      <c r="H1096" s="49"/>
      <c r="I1096" s="47" t="str">
        <f t="shared" si="21"/>
        <v/>
      </c>
      <c r="J1096" s="50"/>
      <c r="K1096" s="45" t="b">
        <v>0</v>
      </c>
      <c r="L1096" s="45"/>
      <c r="M1096" s="45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</row>
    <row r="1097">
      <c r="A1097" s="16" t="str">
        <f t="shared" si="14"/>
        <v/>
      </c>
      <c r="B1097" s="16" t="str">
        <f t="shared" si="15"/>
        <v/>
      </c>
      <c r="C1097" s="35" t="str">
        <f t="shared" si="16"/>
        <v/>
      </c>
      <c r="D1097" s="35" t="str">
        <f t="shared" si="17"/>
        <v/>
      </c>
      <c r="E1097" s="35" t="str">
        <f t="shared" si="18"/>
        <v/>
      </c>
      <c r="F1097" s="35" t="str">
        <f t="shared" si="19"/>
        <v/>
      </c>
      <c r="G1097" s="35" t="str">
        <f t="shared" si="20"/>
        <v/>
      </c>
      <c r="H1097" s="49"/>
      <c r="I1097" s="47" t="str">
        <f t="shared" si="21"/>
        <v/>
      </c>
      <c r="J1097" s="50"/>
      <c r="K1097" s="45" t="b">
        <v>0</v>
      </c>
      <c r="L1097" s="45"/>
      <c r="M1097" s="45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6"/>
      <c r="AJ1097" s="26"/>
      <c r="AK1097" s="2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</row>
    <row r="1098">
      <c r="A1098" s="16" t="str">
        <f t="shared" si="14"/>
        <v/>
      </c>
      <c r="B1098" s="16" t="str">
        <f t="shared" si="15"/>
        <v/>
      </c>
      <c r="C1098" s="35" t="str">
        <f t="shared" si="16"/>
        <v/>
      </c>
      <c r="D1098" s="35" t="str">
        <f t="shared" si="17"/>
        <v/>
      </c>
      <c r="E1098" s="35" t="str">
        <f t="shared" si="18"/>
        <v/>
      </c>
      <c r="F1098" s="35" t="str">
        <f t="shared" si="19"/>
        <v/>
      </c>
      <c r="G1098" s="35" t="str">
        <f t="shared" si="20"/>
        <v/>
      </c>
      <c r="H1098" s="49"/>
      <c r="I1098" s="47" t="str">
        <f t="shared" si="21"/>
        <v/>
      </c>
      <c r="J1098" s="50"/>
      <c r="K1098" s="45" t="b">
        <v>0</v>
      </c>
      <c r="L1098" s="45"/>
      <c r="M1098" s="45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</row>
    <row r="1099">
      <c r="A1099" s="16" t="str">
        <f t="shared" si="14"/>
        <v/>
      </c>
      <c r="B1099" s="16" t="str">
        <f t="shared" si="15"/>
        <v/>
      </c>
      <c r="C1099" s="35" t="str">
        <f t="shared" si="16"/>
        <v/>
      </c>
      <c r="D1099" s="35" t="str">
        <f t="shared" si="17"/>
        <v/>
      </c>
      <c r="E1099" s="35" t="str">
        <f t="shared" si="18"/>
        <v/>
      </c>
      <c r="F1099" s="35" t="str">
        <f t="shared" si="19"/>
        <v/>
      </c>
      <c r="G1099" s="35" t="str">
        <f t="shared" si="20"/>
        <v/>
      </c>
      <c r="H1099" s="49"/>
      <c r="I1099" s="47" t="str">
        <f t="shared" si="21"/>
        <v/>
      </c>
      <c r="J1099" s="50"/>
      <c r="K1099" s="45" t="b">
        <v>0</v>
      </c>
      <c r="L1099" s="45"/>
      <c r="M1099" s="45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</row>
    <row r="1100">
      <c r="A1100" s="16" t="str">
        <f t="shared" si="14"/>
        <v/>
      </c>
      <c r="B1100" s="16" t="str">
        <f t="shared" si="15"/>
        <v/>
      </c>
      <c r="C1100" s="35" t="str">
        <f t="shared" si="16"/>
        <v/>
      </c>
      <c r="D1100" s="35" t="str">
        <f t="shared" si="17"/>
        <v/>
      </c>
      <c r="E1100" s="35" t="str">
        <f t="shared" si="18"/>
        <v/>
      </c>
      <c r="F1100" s="35" t="str">
        <f t="shared" si="19"/>
        <v/>
      </c>
      <c r="G1100" s="35" t="str">
        <f t="shared" si="20"/>
        <v/>
      </c>
      <c r="H1100" s="49"/>
      <c r="I1100" s="47" t="str">
        <f t="shared" si="21"/>
        <v/>
      </c>
      <c r="J1100" s="50"/>
      <c r="K1100" s="45" t="b">
        <v>0</v>
      </c>
      <c r="L1100" s="45"/>
      <c r="M1100" s="45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46"/>
      <c r="BM1100" s="46"/>
      <c r="BN1100" s="46"/>
      <c r="BO1100" s="46"/>
    </row>
    <row r="1101">
      <c r="A1101" s="16" t="str">
        <f t="shared" si="14"/>
        <v/>
      </c>
      <c r="B1101" s="16" t="str">
        <f t="shared" si="15"/>
        <v/>
      </c>
      <c r="C1101" s="35" t="str">
        <f t="shared" si="16"/>
        <v/>
      </c>
      <c r="D1101" s="35" t="str">
        <f t="shared" si="17"/>
        <v/>
      </c>
      <c r="E1101" s="35" t="str">
        <f t="shared" si="18"/>
        <v/>
      </c>
      <c r="F1101" s="35" t="str">
        <f t="shared" si="19"/>
        <v/>
      </c>
      <c r="G1101" s="35" t="str">
        <f t="shared" si="20"/>
        <v/>
      </c>
      <c r="H1101" s="49"/>
      <c r="I1101" s="47" t="str">
        <f t="shared" si="21"/>
        <v/>
      </c>
      <c r="J1101" s="50"/>
      <c r="K1101" s="45" t="b">
        <v>0</v>
      </c>
      <c r="L1101" s="45"/>
      <c r="M1101" s="45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46"/>
      <c r="BM1101" s="46"/>
      <c r="BN1101" s="46"/>
      <c r="BO1101" s="46"/>
    </row>
    <row r="1102">
      <c r="A1102" s="16" t="str">
        <f t="shared" si="14"/>
        <v/>
      </c>
      <c r="B1102" s="16" t="str">
        <f t="shared" si="15"/>
        <v/>
      </c>
      <c r="C1102" s="35" t="str">
        <f t="shared" si="16"/>
        <v/>
      </c>
      <c r="D1102" s="35" t="str">
        <f t="shared" si="17"/>
        <v/>
      </c>
      <c r="E1102" s="35" t="str">
        <f t="shared" si="18"/>
        <v/>
      </c>
      <c r="F1102" s="35" t="str">
        <f t="shared" si="19"/>
        <v/>
      </c>
      <c r="G1102" s="35" t="str">
        <f t="shared" si="20"/>
        <v/>
      </c>
      <c r="H1102" s="49"/>
      <c r="I1102" s="47" t="str">
        <f t="shared" si="21"/>
        <v/>
      </c>
      <c r="J1102" s="50"/>
      <c r="K1102" s="45" t="b">
        <v>0</v>
      </c>
      <c r="L1102" s="45"/>
      <c r="M1102" s="45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/>
    </row>
    <row r="1103">
      <c r="A1103" s="16" t="str">
        <f t="shared" si="14"/>
        <v/>
      </c>
      <c r="B1103" s="16" t="str">
        <f t="shared" si="15"/>
        <v/>
      </c>
      <c r="C1103" s="35" t="str">
        <f t="shared" si="16"/>
        <v/>
      </c>
      <c r="D1103" s="35" t="str">
        <f t="shared" si="17"/>
        <v/>
      </c>
      <c r="E1103" s="35" t="str">
        <f t="shared" si="18"/>
        <v/>
      </c>
      <c r="F1103" s="35" t="str">
        <f t="shared" si="19"/>
        <v/>
      </c>
      <c r="G1103" s="35" t="str">
        <f t="shared" si="20"/>
        <v/>
      </c>
      <c r="H1103" s="49"/>
      <c r="I1103" s="47" t="str">
        <f t="shared" si="21"/>
        <v/>
      </c>
      <c r="J1103" s="50"/>
      <c r="K1103" s="45" t="b">
        <v>0</v>
      </c>
      <c r="L1103" s="45"/>
      <c r="M1103" s="45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46"/>
      <c r="BM1103" s="46"/>
      <c r="BN1103" s="46"/>
      <c r="BO1103" s="46"/>
    </row>
    <row r="1104">
      <c r="A1104" s="16" t="str">
        <f t="shared" si="14"/>
        <v/>
      </c>
      <c r="B1104" s="16" t="str">
        <f t="shared" si="15"/>
        <v/>
      </c>
      <c r="C1104" s="35" t="str">
        <f t="shared" si="16"/>
        <v/>
      </c>
      <c r="D1104" s="35" t="str">
        <f t="shared" si="17"/>
        <v/>
      </c>
      <c r="E1104" s="35" t="str">
        <f t="shared" si="18"/>
        <v/>
      </c>
      <c r="F1104" s="35" t="str">
        <f t="shared" si="19"/>
        <v/>
      </c>
      <c r="G1104" s="35" t="str">
        <f t="shared" si="20"/>
        <v/>
      </c>
      <c r="H1104" s="49"/>
      <c r="I1104" s="47" t="str">
        <f t="shared" si="21"/>
        <v/>
      </c>
      <c r="J1104" s="50"/>
      <c r="K1104" s="45" t="b">
        <v>0</v>
      </c>
      <c r="L1104" s="45"/>
      <c r="M1104" s="45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6"/>
      <c r="AH1104" s="26"/>
      <c r="AI1104" s="26"/>
      <c r="AJ1104" s="26"/>
      <c r="AK1104" s="2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46"/>
      <c r="BM1104" s="46"/>
      <c r="BN1104" s="46"/>
      <c r="BO1104" s="46"/>
    </row>
    <row r="1105">
      <c r="A1105" s="16" t="str">
        <f t="shared" si="14"/>
        <v/>
      </c>
      <c r="B1105" s="16" t="str">
        <f t="shared" si="15"/>
        <v/>
      </c>
      <c r="C1105" s="35" t="str">
        <f t="shared" si="16"/>
        <v/>
      </c>
      <c r="D1105" s="35" t="str">
        <f t="shared" si="17"/>
        <v/>
      </c>
      <c r="E1105" s="35" t="str">
        <f t="shared" si="18"/>
        <v/>
      </c>
      <c r="F1105" s="35" t="str">
        <f t="shared" si="19"/>
        <v/>
      </c>
      <c r="G1105" s="35" t="str">
        <f t="shared" si="20"/>
        <v/>
      </c>
      <c r="H1105" s="49"/>
      <c r="I1105" s="47" t="str">
        <f t="shared" si="21"/>
        <v/>
      </c>
      <c r="J1105" s="50"/>
      <c r="K1105" s="45" t="b">
        <v>0</v>
      </c>
      <c r="L1105" s="45"/>
      <c r="M1105" s="45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46"/>
      <c r="BM1105" s="46"/>
      <c r="BN1105" s="46"/>
      <c r="BO1105" s="46"/>
    </row>
    <row r="1106">
      <c r="A1106" s="16" t="str">
        <f t="shared" si="14"/>
        <v/>
      </c>
      <c r="B1106" s="16" t="str">
        <f t="shared" si="15"/>
        <v/>
      </c>
      <c r="C1106" s="35" t="str">
        <f t="shared" si="16"/>
        <v/>
      </c>
      <c r="D1106" s="35" t="str">
        <f t="shared" si="17"/>
        <v/>
      </c>
      <c r="E1106" s="35" t="str">
        <f t="shared" si="18"/>
        <v/>
      </c>
      <c r="F1106" s="35" t="str">
        <f t="shared" si="19"/>
        <v/>
      </c>
      <c r="G1106" s="35" t="str">
        <f t="shared" si="20"/>
        <v/>
      </c>
      <c r="H1106" s="49"/>
      <c r="I1106" s="47" t="str">
        <f t="shared" si="21"/>
        <v/>
      </c>
      <c r="J1106" s="50"/>
      <c r="K1106" s="45" t="b">
        <v>0</v>
      </c>
      <c r="L1106" s="45"/>
      <c r="M1106" s="45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46"/>
      <c r="BM1106" s="46"/>
      <c r="BN1106" s="46"/>
      <c r="BO1106" s="46"/>
    </row>
    <row r="1107">
      <c r="A1107" s="16" t="str">
        <f t="shared" si="14"/>
        <v/>
      </c>
      <c r="B1107" s="16" t="str">
        <f t="shared" si="15"/>
        <v/>
      </c>
      <c r="C1107" s="35" t="str">
        <f t="shared" si="16"/>
        <v/>
      </c>
      <c r="D1107" s="35" t="str">
        <f t="shared" si="17"/>
        <v/>
      </c>
      <c r="E1107" s="35" t="str">
        <f t="shared" si="18"/>
        <v/>
      </c>
      <c r="F1107" s="35" t="str">
        <f t="shared" si="19"/>
        <v/>
      </c>
      <c r="G1107" s="35" t="str">
        <f t="shared" si="20"/>
        <v/>
      </c>
      <c r="H1107" s="49"/>
      <c r="I1107" s="47" t="str">
        <f t="shared" si="21"/>
        <v/>
      </c>
      <c r="J1107" s="50"/>
      <c r="K1107" s="45" t="b">
        <v>0</v>
      </c>
      <c r="L1107" s="45"/>
      <c r="M1107" s="45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46"/>
      <c r="BM1107" s="46"/>
      <c r="BN1107" s="46"/>
      <c r="BO1107" s="46"/>
    </row>
    <row r="1108">
      <c r="A1108" s="16" t="str">
        <f t="shared" si="14"/>
        <v/>
      </c>
      <c r="B1108" s="16" t="str">
        <f t="shared" si="15"/>
        <v/>
      </c>
      <c r="C1108" s="35" t="str">
        <f t="shared" si="16"/>
        <v/>
      </c>
      <c r="D1108" s="35" t="str">
        <f t="shared" si="17"/>
        <v/>
      </c>
      <c r="E1108" s="35" t="str">
        <f t="shared" si="18"/>
        <v/>
      </c>
      <c r="F1108" s="35" t="str">
        <f t="shared" si="19"/>
        <v/>
      </c>
      <c r="G1108" s="35" t="str">
        <f t="shared" si="20"/>
        <v/>
      </c>
      <c r="H1108" s="49"/>
      <c r="I1108" s="47" t="str">
        <f t="shared" si="21"/>
        <v/>
      </c>
      <c r="J1108" s="50"/>
      <c r="K1108" s="45" t="b">
        <v>0</v>
      </c>
      <c r="L1108" s="45"/>
      <c r="M1108" s="45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46"/>
      <c r="BM1108" s="46"/>
      <c r="BN1108" s="46"/>
      <c r="BO1108" s="46"/>
    </row>
    <row r="1109">
      <c r="A1109" s="16" t="str">
        <f t="shared" si="14"/>
        <v/>
      </c>
      <c r="B1109" s="16" t="str">
        <f t="shared" si="15"/>
        <v/>
      </c>
      <c r="C1109" s="35" t="str">
        <f t="shared" si="16"/>
        <v/>
      </c>
      <c r="D1109" s="35" t="str">
        <f t="shared" si="17"/>
        <v/>
      </c>
      <c r="E1109" s="35" t="str">
        <f t="shared" si="18"/>
        <v/>
      </c>
      <c r="F1109" s="35" t="str">
        <f t="shared" si="19"/>
        <v/>
      </c>
      <c r="G1109" s="35" t="str">
        <f t="shared" si="20"/>
        <v/>
      </c>
      <c r="H1109" s="49"/>
      <c r="I1109" s="47" t="str">
        <f t="shared" si="21"/>
        <v/>
      </c>
      <c r="J1109" s="50"/>
      <c r="K1109" s="45" t="b">
        <v>0</v>
      </c>
      <c r="L1109" s="45"/>
      <c r="M1109" s="45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46"/>
      <c r="BM1109" s="46"/>
      <c r="BN1109" s="46"/>
      <c r="BO1109" s="46"/>
    </row>
    <row r="1110">
      <c r="A1110" s="16" t="str">
        <f t="shared" si="14"/>
        <v/>
      </c>
      <c r="B1110" s="16" t="str">
        <f t="shared" si="15"/>
        <v/>
      </c>
      <c r="C1110" s="35" t="str">
        <f t="shared" si="16"/>
        <v/>
      </c>
      <c r="D1110" s="35" t="str">
        <f t="shared" si="17"/>
        <v/>
      </c>
      <c r="E1110" s="35" t="str">
        <f t="shared" si="18"/>
        <v/>
      </c>
      <c r="F1110" s="35" t="str">
        <f t="shared" si="19"/>
        <v/>
      </c>
      <c r="G1110" s="35" t="str">
        <f t="shared" si="20"/>
        <v/>
      </c>
      <c r="H1110" s="49"/>
      <c r="I1110" s="47" t="str">
        <f t="shared" si="21"/>
        <v/>
      </c>
      <c r="J1110" s="50"/>
      <c r="K1110" s="45" t="b">
        <v>0</v>
      </c>
      <c r="L1110" s="45"/>
      <c r="M1110" s="45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46"/>
      <c r="BM1110" s="46"/>
      <c r="BN1110" s="46"/>
      <c r="BO1110" s="46"/>
    </row>
    <row r="1111">
      <c r="A1111" s="16" t="str">
        <f t="shared" si="14"/>
        <v/>
      </c>
      <c r="B1111" s="16" t="str">
        <f t="shared" si="15"/>
        <v/>
      </c>
      <c r="C1111" s="35" t="str">
        <f t="shared" si="16"/>
        <v/>
      </c>
      <c r="D1111" s="35" t="str">
        <f t="shared" si="17"/>
        <v/>
      </c>
      <c r="E1111" s="35" t="str">
        <f t="shared" si="18"/>
        <v/>
      </c>
      <c r="F1111" s="35" t="str">
        <f t="shared" si="19"/>
        <v/>
      </c>
      <c r="G1111" s="35" t="str">
        <f t="shared" si="20"/>
        <v/>
      </c>
      <c r="H1111" s="49"/>
      <c r="I1111" s="47" t="str">
        <f t="shared" si="21"/>
        <v/>
      </c>
      <c r="J1111" s="50"/>
      <c r="K1111" s="45" t="b">
        <v>0</v>
      </c>
      <c r="L1111" s="45"/>
      <c r="M1111" s="45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46"/>
      <c r="BM1111" s="46"/>
      <c r="BN1111" s="46"/>
      <c r="BO1111" s="46"/>
    </row>
    <row r="1112">
      <c r="A1112" s="16" t="str">
        <f t="shared" si="14"/>
        <v/>
      </c>
      <c r="B1112" s="16" t="str">
        <f t="shared" si="15"/>
        <v/>
      </c>
      <c r="C1112" s="35" t="str">
        <f t="shared" si="16"/>
        <v/>
      </c>
      <c r="D1112" s="35" t="str">
        <f t="shared" si="17"/>
        <v/>
      </c>
      <c r="E1112" s="35" t="str">
        <f t="shared" si="18"/>
        <v/>
      </c>
      <c r="F1112" s="35" t="str">
        <f t="shared" si="19"/>
        <v/>
      </c>
      <c r="G1112" s="35" t="str">
        <f t="shared" si="20"/>
        <v/>
      </c>
      <c r="H1112" s="49"/>
      <c r="I1112" s="47" t="str">
        <f t="shared" si="21"/>
        <v/>
      </c>
      <c r="J1112" s="50"/>
      <c r="K1112" s="45" t="b">
        <v>0</v>
      </c>
      <c r="L1112" s="45"/>
      <c r="M1112" s="45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46"/>
      <c r="BM1112" s="46"/>
      <c r="BN1112" s="46"/>
      <c r="BO1112" s="46"/>
    </row>
    <row r="1113">
      <c r="A1113" s="16" t="str">
        <f t="shared" si="14"/>
        <v/>
      </c>
      <c r="B1113" s="16" t="str">
        <f t="shared" si="15"/>
        <v/>
      </c>
      <c r="C1113" s="35" t="str">
        <f t="shared" si="16"/>
        <v/>
      </c>
      <c r="D1113" s="35" t="str">
        <f t="shared" si="17"/>
        <v/>
      </c>
      <c r="E1113" s="35" t="str">
        <f t="shared" si="18"/>
        <v/>
      </c>
      <c r="F1113" s="35" t="str">
        <f t="shared" si="19"/>
        <v/>
      </c>
      <c r="G1113" s="35" t="str">
        <f t="shared" si="20"/>
        <v/>
      </c>
      <c r="H1113" s="49"/>
      <c r="I1113" s="47" t="str">
        <f t="shared" si="21"/>
        <v/>
      </c>
      <c r="J1113" s="50"/>
      <c r="K1113" s="45" t="b">
        <v>0</v>
      </c>
      <c r="L1113" s="45"/>
      <c r="M1113" s="45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46"/>
      <c r="BM1113" s="46"/>
      <c r="BN1113" s="46"/>
      <c r="BO1113" s="46"/>
    </row>
    <row r="1114">
      <c r="A1114" s="16" t="str">
        <f t="shared" si="14"/>
        <v/>
      </c>
      <c r="B1114" s="16" t="str">
        <f t="shared" si="15"/>
        <v/>
      </c>
      <c r="C1114" s="35" t="str">
        <f t="shared" si="16"/>
        <v/>
      </c>
      <c r="D1114" s="35" t="str">
        <f t="shared" si="17"/>
        <v/>
      </c>
      <c r="E1114" s="35" t="str">
        <f t="shared" si="18"/>
        <v/>
      </c>
      <c r="F1114" s="35" t="str">
        <f t="shared" si="19"/>
        <v/>
      </c>
      <c r="G1114" s="35" t="str">
        <f t="shared" si="20"/>
        <v/>
      </c>
      <c r="H1114" s="49"/>
      <c r="I1114" s="47" t="str">
        <f t="shared" si="21"/>
        <v/>
      </c>
      <c r="J1114" s="50"/>
      <c r="K1114" s="45" t="b">
        <v>0</v>
      </c>
      <c r="L1114" s="45"/>
      <c r="M1114" s="45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46"/>
      <c r="BM1114" s="46"/>
      <c r="BN1114" s="46"/>
      <c r="BO1114" s="46"/>
    </row>
    <row r="1115">
      <c r="A1115" s="16" t="str">
        <f t="shared" si="14"/>
        <v/>
      </c>
      <c r="B1115" s="16" t="str">
        <f t="shared" si="15"/>
        <v/>
      </c>
      <c r="C1115" s="35" t="str">
        <f t="shared" si="16"/>
        <v/>
      </c>
      <c r="D1115" s="35" t="str">
        <f t="shared" si="17"/>
        <v/>
      </c>
      <c r="E1115" s="35" t="str">
        <f t="shared" si="18"/>
        <v/>
      </c>
      <c r="F1115" s="35" t="str">
        <f t="shared" si="19"/>
        <v/>
      </c>
      <c r="G1115" s="35" t="str">
        <f t="shared" si="20"/>
        <v/>
      </c>
      <c r="H1115" s="49"/>
      <c r="I1115" s="47" t="str">
        <f t="shared" si="21"/>
        <v/>
      </c>
      <c r="J1115" s="50"/>
      <c r="K1115" s="45" t="b">
        <v>0</v>
      </c>
      <c r="L1115" s="45"/>
      <c r="M1115" s="45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46"/>
      <c r="BM1115" s="46"/>
      <c r="BN1115" s="46"/>
      <c r="BO1115" s="46"/>
    </row>
    <row r="1116">
      <c r="A1116" s="16" t="str">
        <f t="shared" si="14"/>
        <v/>
      </c>
      <c r="B1116" s="16" t="str">
        <f t="shared" si="15"/>
        <v/>
      </c>
      <c r="C1116" s="35" t="str">
        <f t="shared" si="16"/>
        <v/>
      </c>
      <c r="D1116" s="35" t="str">
        <f t="shared" si="17"/>
        <v/>
      </c>
      <c r="E1116" s="35" t="str">
        <f t="shared" si="18"/>
        <v/>
      </c>
      <c r="F1116" s="35" t="str">
        <f t="shared" si="19"/>
        <v/>
      </c>
      <c r="G1116" s="35" t="str">
        <f t="shared" si="20"/>
        <v/>
      </c>
      <c r="H1116" s="49"/>
      <c r="I1116" s="47" t="str">
        <f t="shared" si="21"/>
        <v/>
      </c>
      <c r="J1116" s="50"/>
      <c r="K1116" s="45" t="b">
        <v>0</v>
      </c>
      <c r="L1116" s="45"/>
      <c r="M1116" s="45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6"/>
      <c r="AJ1116" s="26"/>
      <c r="AK1116" s="2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46"/>
      <c r="BM1116" s="46"/>
      <c r="BN1116" s="46"/>
      <c r="BO1116" s="46"/>
    </row>
    <row r="1117">
      <c r="A1117" s="16" t="str">
        <f t="shared" si="14"/>
        <v/>
      </c>
      <c r="B1117" s="16" t="str">
        <f t="shared" si="15"/>
        <v/>
      </c>
      <c r="C1117" s="35" t="str">
        <f t="shared" si="16"/>
        <v/>
      </c>
      <c r="D1117" s="35" t="str">
        <f t="shared" si="17"/>
        <v/>
      </c>
      <c r="E1117" s="35" t="str">
        <f t="shared" si="18"/>
        <v/>
      </c>
      <c r="F1117" s="35" t="str">
        <f t="shared" si="19"/>
        <v/>
      </c>
      <c r="G1117" s="35" t="str">
        <f t="shared" si="20"/>
        <v/>
      </c>
      <c r="H1117" s="49"/>
      <c r="I1117" s="47" t="str">
        <f t="shared" si="21"/>
        <v/>
      </c>
      <c r="J1117" s="50"/>
      <c r="K1117" s="45" t="b">
        <v>0</v>
      </c>
      <c r="L1117" s="45"/>
      <c r="M1117" s="45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6"/>
      <c r="AH1117" s="26"/>
      <c r="AI1117" s="26"/>
      <c r="AJ1117" s="26"/>
      <c r="AK1117" s="2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46"/>
      <c r="BM1117" s="46"/>
      <c r="BN1117" s="46"/>
      <c r="BO1117" s="46"/>
    </row>
    <row r="1118">
      <c r="A1118" s="16" t="str">
        <f t="shared" si="14"/>
        <v/>
      </c>
      <c r="B1118" s="16" t="str">
        <f t="shared" si="15"/>
        <v/>
      </c>
      <c r="C1118" s="35" t="str">
        <f t="shared" si="16"/>
        <v/>
      </c>
      <c r="D1118" s="35" t="str">
        <f t="shared" si="17"/>
        <v/>
      </c>
      <c r="E1118" s="35" t="str">
        <f t="shared" si="18"/>
        <v/>
      </c>
      <c r="F1118" s="35" t="str">
        <f t="shared" si="19"/>
        <v/>
      </c>
      <c r="G1118" s="35" t="str">
        <f t="shared" si="20"/>
        <v/>
      </c>
      <c r="H1118" s="49"/>
      <c r="I1118" s="47" t="str">
        <f t="shared" si="21"/>
        <v/>
      </c>
      <c r="J1118" s="50"/>
      <c r="K1118" s="45" t="b">
        <v>0</v>
      </c>
      <c r="L1118" s="45"/>
      <c r="M1118" s="45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6"/>
      <c r="AH1118" s="26"/>
      <c r="AI1118" s="26"/>
      <c r="AJ1118" s="26"/>
      <c r="AK1118" s="2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46"/>
      <c r="BM1118" s="46"/>
      <c r="BN1118" s="46"/>
      <c r="BO1118" s="46"/>
    </row>
    <row r="1119">
      <c r="A1119" s="16" t="str">
        <f t="shared" si="14"/>
        <v/>
      </c>
      <c r="B1119" s="16" t="str">
        <f t="shared" si="15"/>
        <v/>
      </c>
      <c r="C1119" s="35" t="str">
        <f t="shared" si="16"/>
        <v/>
      </c>
      <c r="D1119" s="35" t="str">
        <f t="shared" si="17"/>
        <v/>
      </c>
      <c r="E1119" s="35" t="str">
        <f t="shared" si="18"/>
        <v/>
      </c>
      <c r="F1119" s="35" t="str">
        <f t="shared" si="19"/>
        <v/>
      </c>
      <c r="G1119" s="35" t="str">
        <f t="shared" si="20"/>
        <v/>
      </c>
      <c r="H1119" s="49"/>
      <c r="I1119" s="47" t="str">
        <f t="shared" si="21"/>
        <v/>
      </c>
      <c r="J1119" s="50"/>
      <c r="K1119" s="45" t="b">
        <v>0</v>
      </c>
      <c r="L1119" s="45"/>
      <c r="M1119" s="45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46"/>
      <c r="BM1119" s="46"/>
      <c r="BN1119" s="46"/>
      <c r="BO1119" s="46"/>
    </row>
    <row r="1120">
      <c r="A1120" s="16" t="str">
        <f t="shared" si="14"/>
        <v/>
      </c>
      <c r="B1120" s="16" t="str">
        <f t="shared" si="15"/>
        <v/>
      </c>
      <c r="C1120" s="35" t="str">
        <f t="shared" si="16"/>
        <v/>
      </c>
      <c r="D1120" s="35" t="str">
        <f t="shared" si="17"/>
        <v/>
      </c>
      <c r="E1120" s="35" t="str">
        <f t="shared" si="18"/>
        <v/>
      </c>
      <c r="F1120" s="35" t="str">
        <f t="shared" si="19"/>
        <v/>
      </c>
      <c r="G1120" s="35" t="str">
        <f t="shared" si="20"/>
        <v/>
      </c>
      <c r="H1120" s="49"/>
      <c r="I1120" s="47" t="str">
        <f t="shared" si="21"/>
        <v/>
      </c>
      <c r="J1120" s="50"/>
      <c r="K1120" s="45" t="b">
        <v>0</v>
      </c>
      <c r="L1120" s="45"/>
      <c r="M1120" s="45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  <c r="AI1120" s="26"/>
      <c r="AJ1120" s="26"/>
      <c r="AK1120" s="2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46"/>
      <c r="BM1120" s="46"/>
      <c r="BN1120" s="46"/>
      <c r="BO1120" s="46"/>
    </row>
    <row r="1121">
      <c r="A1121" s="16" t="str">
        <f t="shared" si="14"/>
        <v/>
      </c>
      <c r="B1121" s="16" t="str">
        <f t="shared" si="15"/>
        <v/>
      </c>
      <c r="C1121" s="35" t="str">
        <f t="shared" si="16"/>
        <v/>
      </c>
      <c r="D1121" s="35" t="str">
        <f t="shared" si="17"/>
        <v/>
      </c>
      <c r="E1121" s="35" t="str">
        <f t="shared" si="18"/>
        <v/>
      </c>
      <c r="F1121" s="35" t="str">
        <f t="shared" si="19"/>
        <v/>
      </c>
      <c r="G1121" s="35" t="str">
        <f t="shared" si="20"/>
        <v/>
      </c>
      <c r="H1121" s="49"/>
      <c r="I1121" s="47" t="str">
        <f t="shared" si="21"/>
        <v/>
      </c>
      <c r="J1121" s="50"/>
      <c r="K1121" s="45" t="b">
        <v>0</v>
      </c>
      <c r="L1121" s="45"/>
      <c r="M1121" s="45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  <c r="AI1121" s="26"/>
      <c r="AJ1121" s="26"/>
      <c r="AK1121" s="2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46"/>
      <c r="BM1121" s="46"/>
      <c r="BN1121" s="46"/>
      <c r="BO1121" s="46"/>
    </row>
    <row r="1122">
      <c r="A1122" s="16" t="str">
        <f t="shared" si="14"/>
        <v/>
      </c>
      <c r="B1122" s="16" t="str">
        <f t="shared" si="15"/>
        <v/>
      </c>
      <c r="C1122" s="35" t="str">
        <f t="shared" si="16"/>
        <v/>
      </c>
      <c r="D1122" s="35" t="str">
        <f t="shared" si="17"/>
        <v/>
      </c>
      <c r="E1122" s="35" t="str">
        <f t="shared" si="18"/>
        <v/>
      </c>
      <c r="F1122" s="35" t="str">
        <f t="shared" si="19"/>
        <v/>
      </c>
      <c r="G1122" s="35" t="str">
        <f t="shared" si="20"/>
        <v/>
      </c>
      <c r="H1122" s="49"/>
      <c r="I1122" s="47" t="str">
        <f t="shared" si="21"/>
        <v/>
      </c>
      <c r="J1122" s="50"/>
      <c r="K1122" s="45" t="b">
        <v>0</v>
      </c>
      <c r="L1122" s="45"/>
      <c r="M1122" s="45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46"/>
      <c r="BM1122" s="46"/>
      <c r="BN1122" s="46"/>
      <c r="BO1122" s="46"/>
    </row>
    <row r="1123">
      <c r="A1123" s="16" t="str">
        <f t="shared" si="14"/>
        <v/>
      </c>
      <c r="B1123" s="16" t="str">
        <f t="shared" si="15"/>
        <v/>
      </c>
      <c r="C1123" s="35" t="str">
        <f t="shared" si="16"/>
        <v/>
      </c>
      <c r="D1123" s="35" t="str">
        <f t="shared" si="17"/>
        <v/>
      </c>
      <c r="E1123" s="35" t="str">
        <f t="shared" si="18"/>
        <v/>
      </c>
      <c r="F1123" s="35" t="str">
        <f t="shared" si="19"/>
        <v/>
      </c>
      <c r="G1123" s="35" t="str">
        <f t="shared" si="20"/>
        <v/>
      </c>
      <c r="H1123" s="49"/>
      <c r="I1123" s="47" t="str">
        <f t="shared" si="21"/>
        <v/>
      </c>
      <c r="J1123" s="50"/>
      <c r="K1123" s="45" t="b">
        <v>0</v>
      </c>
      <c r="L1123" s="45"/>
      <c r="M1123" s="45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  <c r="AI1123" s="26"/>
      <c r="AJ1123" s="26"/>
      <c r="AK1123" s="2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46"/>
      <c r="BM1123" s="46"/>
      <c r="BN1123" s="46"/>
      <c r="BO1123" s="46"/>
    </row>
    <row r="1124">
      <c r="A1124" s="16" t="str">
        <f t="shared" si="14"/>
        <v/>
      </c>
      <c r="B1124" s="16" t="str">
        <f t="shared" si="15"/>
        <v/>
      </c>
      <c r="C1124" s="35" t="str">
        <f t="shared" si="16"/>
        <v/>
      </c>
      <c r="D1124" s="35" t="str">
        <f t="shared" si="17"/>
        <v/>
      </c>
      <c r="E1124" s="35" t="str">
        <f t="shared" si="18"/>
        <v/>
      </c>
      <c r="F1124" s="35" t="str">
        <f t="shared" si="19"/>
        <v/>
      </c>
      <c r="G1124" s="35" t="str">
        <f t="shared" si="20"/>
        <v/>
      </c>
      <c r="H1124" s="49"/>
      <c r="I1124" s="47" t="str">
        <f t="shared" si="21"/>
        <v/>
      </c>
      <c r="J1124" s="50"/>
      <c r="K1124" s="45" t="b">
        <v>0</v>
      </c>
      <c r="L1124" s="45"/>
      <c r="M1124" s="45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  <c r="AI1124" s="26"/>
      <c r="AJ1124" s="26"/>
      <c r="AK1124" s="2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/>
    </row>
    <row r="1125">
      <c r="A1125" s="16" t="str">
        <f t="shared" si="14"/>
        <v/>
      </c>
      <c r="B1125" s="16" t="str">
        <f t="shared" si="15"/>
        <v/>
      </c>
      <c r="C1125" s="35" t="str">
        <f t="shared" si="16"/>
        <v/>
      </c>
      <c r="D1125" s="35" t="str">
        <f t="shared" si="17"/>
        <v/>
      </c>
      <c r="E1125" s="35" t="str">
        <f t="shared" si="18"/>
        <v/>
      </c>
      <c r="F1125" s="35" t="str">
        <f t="shared" si="19"/>
        <v/>
      </c>
      <c r="G1125" s="35" t="str">
        <f t="shared" si="20"/>
        <v/>
      </c>
      <c r="H1125" s="49"/>
      <c r="I1125" s="47" t="str">
        <f t="shared" si="21"/>
        <v/>
      </c>
      <c r="J1125" s="50"/>
      <c r="K1125" s="45" t="b">
        <v>0</v>
      </c>
      <c r="L1125" s="45"/>
      <c r="M1125" s="45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46"/>
      <c r="BM1125" s="46"/>
      <c r="BN1125" s="46"/>
      <c r="BO1125" s="46"/>
    </row>
    <row r="1126">
      <c r="A1126" s="16" t="str">
        <f t="shared" si="14"/>
        <v/>
      </c>
      <c r="B1126" s="16" t="str">
        <f t="shared" si="15"/>
        <v/>
      </c>
      <c r="C1126" s="35" t="str">
        <f t="shared" si="16"/>
        <v/>
      </c>
      <c r="D1126" s="35" t="str">
        <f t="shared" si="17"/>
        <v/>
      </c>
      <c r="E1126" s="35" t="str">
        <f t="shared" si="18"/>
        <v/>
      </c>
      <c r="F1126" s="35" t="str">
        <f t="shared" si="19"/>
        <v/>
      </c>
      <c r="G1126" s="35" t="str">
        <f t="shared" si="20"/>
        <v/>
      </c>
      <c r="H1126" s="49"/>
      <c r="I1126" s="47" t="str">
        <f t="shared" si="21"/>
        <v/>
      </c>
      <c r="J1126" s="50"/>
      <c r="K1126" s="45" t="b">
        <v>0</v>
      </c>
      <c r="L1126" s="45"/>
      <c r="M1126" s="45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46"/>
      <c r="BM1126" s="46"/>
      <c r="BN1126" s="46"/>
      <c r="BO1126" s="46"/>
    </row>
    <row r="1127">
      <c r="A1127" s="16" t="str">
        <f t="shared" si="14"/>
        <v/>
      </c>
      <c r="B1127" s="16" t="str">
        <f t="shared" si="15"/>
        <v/>
      </c>
      <c r="C1127" s="35" t="str">
        <f t="shared" si="16"/>
        <v/>
      </c>
      <c r="D1127" s="35" t="str">
        <f t="shared" si="17"/>
        <v/>
      </c>
      <c r="E1127" s="35" t="str">
        <f t="shared" si="18"/>
        <v/>
      </c>
      <c r="F1127" s="35" t="str">
        <f t="shared" si="19"/>
        <v/>
      </c>
      <c r="G1127" s="35" t="str">
        <f t="shared" si="20"/>
        <v/>
      </c>
      <c r="H1127" s="49"/>
      <c r="I1127" s="47" t="str">
        <f t="shared" si="21"/>
        <v/>
      </c>
      <c r="J1127" s="50"/>
      <c r="K1127" s="45" t="b">
        <v>0</v>
      </c>
      <c r="L1127" s="45"/>
      <c r="M1127" s="45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46"/>
      <c r="BM1127" s="46"/>
      <c r="BN1127" s="46"/>
      <c r="BO1127" s="46"/>
    </row>
    <row r="1128">
      <c r="A1128" s="16" t="str">
        <f t="shared" si="14"/>
        <v/>
      </c>
      <c r="B1128" s="16" t="str">
        <f t="shared" si="15"/>
        <v/>
      </c>
      <c r="C1128" s="35" t="str">
        <f t="shared" si="16"/>
        <v/>
      </c>
      <c r="D1128" s="35" t="str">
        <f t="shared" si="17"/>
        <v/>
      </c>
      <c r="E1128" s="35" t="str">
        <f t="shared" si="18"/>
        <v/>
      </c>
      <c r="F1128" s="35" t="str">
        <f t="shared" si="19"/>
        <v/>
      </c>
      <c r="G1128" s="35" t="str">
        <f t="shared" si="20"/>
        <v/>
      </c>
      <c r="H1128" s="49"/>
      <c r="I1128" s="47" t="str">
        <f t="shared" si="21"/>
        <v/>
      </c>
      <c r="J1128" s="50"/>
      <c r="K1128" s="45" t="b">
        <v>0</v>
      </c>
      <c r="L1128" s="45"/>
      <c r="M1128" s="45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46"/>
      <c r="BM1128" s="46"/>
      <c r="BN1128" s="46"/>
      <c r="BO1128" s="46"/>
    </row>
    <row r="1129">
      <c r="A1129" s="16" t="str">
        <f t="shared" si="14"/>
        <v/>
      </c>
      <c r="B1129" s="16" t="str">
        <f t="shared" si="15"/>
        <v/>
      </c>
      <c r="C1129" s="35" t="str">
        <f t="shared" si="16"/>
        <v/>
      </c>
      <c r="D1129" s="35" t="str">
        <f t="shared" si="17"/>
        <v/>
      </c>
      <c r="E1129" s="35" t="str">
        <f t="shared" si="18"/>
        <v/>
      </c>
      <c r="F1129" s="35" t="str">
        <f t="shared" si="19"/>
        <v/>
      </c>
      <c r="G1129" s="35" t="str">
        <f t="shared" si="20"/>
        <v/>
      </c>
      <c r="H1129" s="49"/>
      <c r="I1129" s="47" t="str">
        <f t="shared" si="21"/>
        <v/>
      </c>
      <c r="J1129" s="50"/>
      <c r="K1129" s="45" t="b">
        <v>0</v>
      </c>
      <c r="L1129" s="45"/>
      <c r="M1129" s="45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  <c r="BI1129" s="46"/>
      <c r="BJ1129" s="46"/>
      <c r="BK1129" s="46"/>
      <c r="BL1129" s="46"/>
      <c r="BM1129" s="46"/>
      <c r="BN1129" s="46"/>
      <c r="BO1129" s="46"/>
    </row>
    <row r="1130">
      <c r="A1130" s="16" t="str">
        <f t="shared" si="14"/>
        <v/>
      </c>
      <c r="B1130" s="16" t="str">
        <f t="shared" si="15"/>
        <v/>
      </c>
      <c r="C1130" s="35" t="str">
        <f t="shared" si="16"/>
        <v/>
      </c>
      <c r="D1130" s="35" t="str">
        <f t="shared" si="17"/>
        <v/>
      </c>
      <c r="E1130" s="35" t="str">
        <f t="shared" si="18"/>
        <v/>
      </c>
      <c r="F1130" s="35" t="str">
        <f t="shared" si="19"/>
        <v/>
      </c>
      <c r="G1130" s="35" t="str">
        <f t="shared" si="20"/>
        <v/>
      </c>
      <c r="H1130" s="49"/>
      <c r="I1130" s="47" t="str">
        <f t="shared" si="21"/>
        <v/>
      </c>
      <c r="J1130" s="50"/>
      <c r="K1130" s="45" t="b">
        <v>0</v>
      </c>
      <c r="L1130" s="45"/>
      <c r="M1130" s="45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46"/>
      <c r="BM1130" s="46"/>
      <c r="BN1130" s="46"/>
      <c r="BO1130" s="46"/>
    </row>
    <row r="1131">
      <c r="A1131" s="16" t="str">
        <f t="shared" si="14"/>
        <v/>
      </c>
      <c r="B1131" s="16" t="str">
        <f t="shared" si="15"/>
        <v/>
      </c>
      <c r="C1131" s="35" t="str">
        <f t="shared" si="16"/>
        <v/>
      </c>
      <c r="D1131" s="35" t="str">
        <f t="shared" si="17"/>
        <v/>
      </c>
      <c r="E1131" s="35" t="str">
        <f t="shared" si="18"/>
        <v/>
      </c>
      <c r="F1131" s="35" t="str">
        <f t="shared" si="19"/>
        <v/>
      </c>
      <c r="G1131" s="35" t="str">
        <f t="shared" si="20"/>
        <v/>
      </c>
      <c r="H1131" s="49"/>
      <c r="I1131" s="47" t="str">
        <f t="shared" si="21"/>
        <v/>
      </c>
      <c r="J1131" s="50"/>
      <c r="K1131" s="45" t="b">
        <v>0</v>
      </c>
      <c r="L1131" s="45"/>
      <c r="M1131" s="45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46"/>
      <c r="BM1131" s="46"/>
      <c r="BN1131" s="46"/>
      <c r="BO1131" s="46"/>
    </row>
    <row r="1132">
      <c r="A1132" s="16" t="str">
        <f t="shared" si="14"/>
        <v/>
      </c>
      <c r="B1132" s="16" t="str">
        <f t="shared" si="15"/>
        <v/>
      </c>
      <c r="C1132" s="35" t="str">
        <f t="shared" si="16"/>
        <v/>
      </c>
      <c r="D1132" s="35" t="str">
        <f t="shared" si="17"/>
        <v/>
      </c>
      <c r="E1132" s="35" t="str">
        <f t="shared" si="18"/>
        <v/>
      </c>
      <c r="F1132" s="35" t="str">
        <f t="shared" si="19"/>
        <v/>
      </c>
      <c r="G1132" s="35" t="str">
        <f t="shared" si="20"/>
        <v/>
      </c>
      <c r="H1132" s="49"/>
      <c r="I1132" s="47" t="str">
        <f t="shared" si="21"/>
        <v/>
      </c>
      <c r="J1132" s="50"/>
      <c r="K1132" s="45" t="b">
        <v>0</v>
      </c>
      <c r="L1132" s="45"/>
      <c r="M1132" s="45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46"/>
      <c r="BM1132" s="46"/>
      <c r="BN1132" s="46"/>
      <c r="BO1132" s="46"/>
    </row>
    <row r="1133">
      <c r="A1133" s="16" t="str">
        <f t="shared" si="14"/>
        <v/>
      </c>
      <c r="B1133" s="16" t="str">
        <f t="shared" si="15"/>
        <v/>
      </c>
      <c r="C1133" s="35" t="str">
        <f t="shared" si="16"/>
        <v/>
      </c>
      <c r="D1133" s="35" t="str">
        <f t="shared" si="17"/>
        <v/>
      </c>
      <c r="E1133" s="35" t="str">
        <f t="shared" si="18"/>
        <v/>
      </c>
      <c r="F1133" s="35" t="str">
        <f t="shared" si="19"/>
        <v/>
      </c>
      <c r="G1133" s="35" t="str">
        <f t="shared" si="20"/>
        <v/>
      </c>
      <c r="H1133" s="49"/>
      <c r="I1133" s="47" t="str">
        <f t="shared" si="21"/>
        <v/>
      </c>
      <c r="J1133" s="50"/>
      <c r="K1133" s="45" t="b">
        <v>0</v>
      </c>
      <c r="L1133" s="45"/>
      <c r="M1133" s="45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46"/>
      <c r="BM1133" s="46"/>
      <c r="BN1133" s="46"/>
      <c r="BO1133" s="46"/>
    </row>
    <row r="1134">
      <c r="A1134" s="16" t="str">
        <f t="shared" si="14"/>
        <v/>
      </c>
      <c r="B1134" s="16" t="str">
        <f t="shared" si="15"/>
        <v/>
      </c>
      <c r="C1134" s="35" t="str">
        <f t="shared" si="16"/>
        <v/>
      </c>
      <c r="D1134" s="35" t="str">
        <f t="shared" si="17"/>
        <v/>
      </c>
      <c r="E1134" s="35" t="str">
        <f t="shared" si="18"/>
        <v/>
      </c>
      <c r="F1134" s="35" t="str">
        <f t="shared" si="19"/>
        <v/>
      </c>
      <c r="G1134" s="35" t="str">
        <f t="shared" si="20"/>
        <v/>
      </c>
      <c r="H1134" s="49"/>
      <c r="I1134" s="47" t="str">
        <f t="shared" si="21"/>
        <v/>
      </c>
      <c r="J1134" s="50"/>
      <c r="K1134" s="45" t="b">
        <v>0</v>
      </c>
      <c r="L1134" s="45"/>
      <c r="M1134" s="45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  <c r="AI1134" s="26"/>
      <c r="AJ1134" s="26"/>
      <c r="AK1134" s="2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46"/>
      <c r="BM1134" s="46"/>
      <c r="BN1134" s="46"/>
      <c r="BO1134" s="46"/>
    </row>
    <row r="1135">
      <c r="A1135" s="16" t="str">
        <f t="shared" si="14"/>
        <v/>
      </c>
      <c r="B1135" s="16" t="str">
        <f t="shared" si="15"/>
        <v/>
      </c>
      <c r="C1135" s="35" t="str">
        <f t="shared" si="16"/>
        <v/>
      </c>
      <c r="D1135" s="35" t="str">
        <f t="shared" si="17"/>
        <v/>
      </c>
      <c r="E1135" s="35" t="str">
        <f t="shared" si="18"/>
        <v/>
      </c>
      <c r="F1135" s="35" t="str">
        <f t="shared" si="19"/>
        <v/>
      </c>
      <c r="G1135" s="35" t="str">
        <f t="shared" si="20"/>
        <v/>
      </c>
      <c r="H1135" s="49"/>
      <c r="I1135" s="47" t="str">
        <f t="shared" si="21"/>
        <v/>
      </c>
      <c r="J1135" s="50"/>
      <c r="K1135" s="45" t="b">
        <v>0</v>
      </c>
      <c r="L1135" s="45"/>
      <c r="M1135" s="45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46"/>
      <c r="BM1135" s="46"/>
      <c r="BN1135" s="46"/>
      <c r="BO1135" s="46"/>
    </row>
    <row r="1136">
      <c r="A1136" s="16" t="str">
        <f t="shared" si="14"/>
        <v/>
      </c>
      <c r="B1136" s="16" t="str">
        <f t="shared" si="15"/>
        <v/>
      </c>
      <c r="C1136" s="35" t="str">
        <f t="shared" si="16"/>
        <v/>
      </c>
      <c r="D1136" s="35" t="str">
        <f t="shared" si="17"/>
        <v/>
      </c>
      <c r="E1136" s="35" t="str">
        <f t="shared" si="18"/>
        <v/>
      </c>
      <c r="F1136" s="35" t="str">
        <f t="shared" si="19"/>
        <v/>
      </c>
      <c r="G1136" s="35" t="str">
        <f t="shared" si="20"/>
        <v/>
      </c>
      <c r="H1136" s="49"/>
      <c r="I1136" s="47" t="str">
        <f t="shared" si="21"/>
        <v/>
      </c>
      <c r="J1136" s="50"/>
      <c r="K1136" s="45" t="b">
        <v>0</v>
      </c>
      <c r="L1136" s="45"/>
      <c r="M1136" s="45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  <c r="AI1136" s="26"/>
      <c r="AJ1136" s="26"/>
      <c r="AK1136" s="2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46"/>
      <c r="BM1136" s="46"/>
      <c r="BN1136" s="46"/>
      <c r="BO1136" s="46"/>
    </row>
    <row r="1137">
      <c r="A1137" s="16" t="str">
        <f t="shared" si="14"/>
        <v/>
      </c>
      <c r="B1137" s="16" t="str">
        <f t="shared" si="15"/>
        <v/>
      </c>
      <c r="C1137" s="35" t="str">
        <f t="shared" si="16"/>
        <v/>
      </c>
      <c r="D1137" s="35" t="str">
        <f t="shared" si="17"/>
        <v/>
      </c>
      <c r="E1137" s="35" t="str">
        <f t="shared" si="18"/>
        <v/>
      </c>
      <c r="F1137" s="35" t="str">
        <f t="shared" si="19"/>
        <v/>
      </c>
      <c r="G1137" s="35" t="str">
        <f t="shared" si="20"/>
        <v/>
      </c>
      <c r="H1137" s="49"/>
      <c r="I1137" s="47" t="str">
        <f t="shared" si="21"/>
        <v/>
      </c>
      <c r="J1137" s="50"/>
      <c r="K1137" s="45" t="b">
        <v>0</v>
      </c>
      <c r="L1137" s="45"/>
      <c r="M1137" s="45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46"/>
      <c r="BM1137" s="46"/>
      <c r="BN1137" s="46"/>
      <c r="BO1137" s="46"/>
    </row>
    <row r="1138">
      <c r="A1138" s="16" t="str">
        <f t="shared" si="14"/>
        <v/>
      </c>
      <c r="B1138" s="16" t="str">
        <f t="shared" si="15"/>
        <v/>
      </c>
      <c r="C1138" s="35" t="str">
        <f t="shared" si="16"/>
        <v/>
      </c>
      <c r="D1138" s="35" t="str">
        <f t="shared" si="17"/>
        <v/>
      </c>
      <c r="E1138" s="35" t="str">
        <f t="shared" si="18"/>
        <v/>
      </c>
      <c r="F1138" s="35" t="str">
        <f t="shared" si="19"/>
        <v/>
      </c>
      <c r="G1138" s="35" t="str">
        <f t="shared" si="20"/>
        <v/>
      </c>
      <c r="H1138" s="49"/>
      <c r="I1138" s="47" t="str">
        <f t="shared" si="21"/>
        <v/>
      </c>
      <c r="J1138" s="50"/>
      <c r="K1138" s="45" t="b">
        <v>0</v>
      </c>
      <c r="L1138" s="45"/>
      <c r="M1138" s="45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46"/>
      <c r="BM1138" s="46"/>
      <c r="BN1138" s="46"/>
      <c r="BO1138" s="46"/>
    </row>
    <row r="1139">
      <c r="A1139" s="16" t="str">
        <f t="shared" si="14"/>
        <v/>
      </c>
      <c r="B1139" s="16" t="str">
        <f t="shared" si="15"/>
        <v/>
      </c>
      <c r="C1139" s="35" t="str">
        <f t="shared" si="16"/>
        <v/>
      </c>
      <c r="D1139" s="35" t="str">
        <f t="shared" si="17"/>
        <v/>
      </c>
      <c r="E1139" s="35" t="str">
        <f t="shared" si="18"/>
        <v/>
      </c>
      <c r="F1139" s="35" t="str">
        <f t="shared" si="19"/>
        <v/>
      </c>
      <c r="G1139" s="35" t="str">
        <f t="shared" si="20"/>
        <v/>
      </c>
      <c r="H1139" s="49"/>
      <c r="I1139" s="47" t="str">
        <f t="shared" si="21"/>
        <v/>
      </c>
      <c r="J1139" s="50"/>
      <c r="K1139" s="45" t="b">
        <v>0</v>
      </c>
      <c r="L1139" s="45"/>
      <c r="M1139" s="45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  <c r="AI1139" s="26"/>
      <c r="AJ1139" s="26"/>
      <c r="AK1139" s="2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46"/>
      <c r="BM1139" s="46"/>
      <c r="BN1139" s="46"/>
      <c r="BO1139" s="46"/>
    </row>
    <row r="1140">
      <c r="A1140" s="16" t="str">
        <f t="shared" si="14"/>
        <v/>
      </c>
      <c r="B1140" s="16" t="str">
        <f t="shared" si="15"/>
        <v/>
      </c>
      <c r="C1140" s="35" t="str">
        <f t="shared" si="16"/>
        <v/>
      </c>
      <c r="D1140" s="35" t="str">
        <f t="shared" si="17"/>
        <v/>
      </c>
      <c r="E1140" s="35" t="str">
        <f t="shared" si="18"/>
        <v/>
      </c>
      <c r="F1140" s="35" t="str">
        <f t="shared" si="19"/>
        <v/>
      </c>
      <c r="G1140" s="35" t="str">
        <f t="shared" si="20"/>
        <v/>
      </c>
      <c r="H1140" s="49"/>
      <c r="I1140" s="47" t="str">
        <f t="shared" si="21"/>
        <v/>
      </c>
      <c r="J1140" s="50"/>
      <c r="K1140" s="45" t="b">
        <v>0</v>
      </c>
      <c r="L1140" s="45"/>
      <c r="M1140" s="45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  <c r="AI1140" s="26"/>
      <c r="AJ1140" s="26"/>
      <c r="AK1140" s="2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46"/>
      <c r="BM1140" s="46"/>
      <c r="BN1140" s="46"/>
      <c r="BO1140" s="46"/>
    </row>
    <row r="1141">
      <c r="A1141" s="16" t="str">
        <f t="shared" si="14"/>
        <v/>
      </c>
      <c r="B1141" s="16" t="str">
        <f t="shared" si="15"/>
        <v/>
      </c>
      <c r="C1141" s="35" t="str">
        <f t="shared" si="16"/>
        <v/>
      </c>
      <c r="D1141" s="35" t="str">
        <f t="shared" si="17"/>
        <v/>
      </c>
      <c r="E1141" s="35" t="str">
        <f t="shared" si="18"/>
        <v/>
      </c>
      <c r="F1141" s="35" t="str">
        <f t="shared" si="19"/>
        <v/>
      </c>
      <c r="G1141" s="35" t="str">
        <f t="shared" si="20"/>
        <v/>
      </c>
      <c r="H1141" s="49"/>
      <c r="I1141" s="47" t="str">
        <f t="shared" si="21"/>
        <v/>
      </c>
      <c r="J1141" s="50"/>
      <c r="K1141" s="45" t="b">
        <v>0</v>
      </c>
      <c r="L1141" s="45"/>
      <c r="M1141" s="45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  <c r="AI1141" s="26"/>
      <c r="AJ1141" s="26"/>
      <c r="AK1141" s="2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46"/>
      <c r="BM1141" s="46"/>
      <c r="BN1141" s="46"/>
      <c r="BO1141" s="46"/>
    </row>
    <row r="1142">
      <c r="A1142" s="16" t="str">
        <f t="shared" si="14"/>
        <v/>
      </c>
      <c r="B1142" s="16" t="str">
        <f t="shared" si="15"/>
        <v/>
      </c>
      <c r="C1142" s="35" t="str">
        <f t="shared" si="16"/>
        <v/>
      </c>
      <c r="D1142" s="35" t="str">
        <f t="shared" si="17"/>
        <v/>
      </c>
      <c r="E1142" s="35" t="str">
        <f t="shared" si="18"/>
        <v/>
      </c>
      <c r="F1142" s="35" t="str">
        <f t="shared" si="19"/>
        <v/>
      </c>
      <c r="G1142" s="35" t="str">
        <f t="shared" si="20"/>
        <v/>
      </c>
      <c r="H1142" s="49"/>
      <c r="I1142" s="47" t="str">
        <f t="shared" si="21"/>
        <v/>
      </c>
      <c r="J1142" s="50"/>
      <c r="K1142" s="45" t="b">
        <v>0</v>
      </c>
      <c r="L1142" s="45"/>
      <c r="M1142" s="45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  <c r="AI1142" s="26"/>
      <c r="AJ1142" s="26"/>
      <c r="AK1142" s="2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/>
    </row>
    <row r="1143">
      <c r="A1143" s="16" t="str">
        <f t="shared" si="14"/>
        <v/>
      </c>
      <c r="B1143" s="16" t="str">
        <f t="shared" si="15"/>
        <v/>
      </c>
      <c r="C1143" s="35" t="str">
        <f t="shared" si="16"/>
        <v/>
      </c>
      <c r="D1143" s="35" t="str">
        <f t="shared" si="17"/>
        <v/>
      </c>
      <c r="E1143" s="35" t="str">
        <f t="shared" si="18"/>
        <v/>
      </c>
      <c r="F1143" s="35" t="str">
        <f t="shared" si="19"/>
        <v/>
      </c>
      <c r="G1143" s="35" t="str">
        <f t="shared" si="20"/>
        <v/>
      </c>
      <c r="H1143" s="49"/>
      <c r="I1143" s="47" t="str">
        <f t="shared" si="21"/>
        <v/>
      </c>
      <c r="J1143" s="50"/>
      <c r="K1143" s="45" t="b">
        <v>0</v>
      </c>
      <c r="L1143" s="45"/>
      <c r="M1143" s="45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46"/>
      <c r="BM1143" s="46"/>
      <c r="BN1143" s="46"/>
      <c r="BO1143" s="46"/>
    </row>
    <row r="1144">
      <c r="A1144" s="16" t="str">
        <f t="shared" si="14"/>
        <v/>
      </c>
      <c r="B1144" s="16" t="str">
        <f t="shared" si="15"/>
        <v/>
      </c>
      <c r="C1144" s="35" t="str">
        <f t="shared" si="16"/>
        <v/>
      </c>
      <c r="D1144" s="35" t="str">
        <f t="shared" si="17"/>
        <v/>
      </c>
      <c r="E1144" s="35" t="str">
        <f t="shared" si="18"/>
        <v/>
      </c>
      <c r="F1144" s="35" t="str">
        <f t="shared" si="19"/>
        <v/>
      </c>
      <c r="G1144" s="35" t="str">
        <f t="shared" si="20"/>
        <v/>
      </c>
      <c r="H1144" s="49"/>
      <c r="I1144" s="47" t="str">
        <f t="shared" si="21"/>
        <v/>
      </c>
      <c r="J1144" s="50"/>
      <c r="K1144" s="45" t="b">
        <v>0</v>
      </c>
      <c r="L1144" s="45"/>
      <c r="M1144" s="45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/>
      <c r="BL1144" s="46"/>
      <c r="BM1144" s="46"/>
      <c r="BN1144" s="46"/>
      <c r="BO1144" s="46"/>
    </row>
    <row r="1145">
      <c r="A1145" s="16" t="str">
        <f t="shared" si="14"/>
        <v/>
      </c>
      <c r="B1145" s="16" t="str">
        <f t="shared" si="15"/>
        <v/>
      </c>
      <c r="C1145" s="35" t="str">
        <f t="shared" si="16"/>
        <v/>
      </c>
      <c r="D1145" s="35" t="str">
        <f t="shared" si="17"/>
        <v/>
      </c>
      <c r="E1145" s="35" t="str">
        <f t="shared" si="18"/>
        <v/>
      </c>
      <c r="F1145" s="35" t="str">
        <f t="shared" si="19"/>
        <v/>
      </c>
      <c r="G1145" s="35" t="str">
        <f t="shared" si="20"/>
        <v/>
      </c>
      <c r="H1145" s="49"/>
      <c r="I1145" s="47" t="str">
        <f t="shared" si="21"/>
        <v/>
      </c>
      <c r="J1145" s="50"/>
      <c r="K1145" s="45" t="b">
        <v>0</v>
      </c>
      <c r="L1145" s="45"/>
      <c r="M1145" s="45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46"/>
      <c r="BM1145" s="46"/>
      <c r="BN1145" s="46"/>
      <c r="BO1145" s="46"/>
    </row>
    <row r="1146">
      <c r="A1146" s="16" t="str">
        <f t="shared" si="14"/>
        <v/>
      </c>
      <c r="B1146" s="16" t="str">
        <f t="shared" si="15"/>
        <v/>
      </c>
      <c r="C1146" s="35" t="str">
        <f t="shared" si="16"/>
        <v/>
      </c>
      <c r="D1146" s="35" t="str">
        <f t="shared" si="17"/>
        <v/>
      </c>
      <c r="E1146" s="35" t="str">
        <f t="shared" si="18"/>
        <v/>
      </c>
      <c r="F1146" s="35" t="str">
        <f t="shared" si="19"/>
        <v/>
      </c>
      <c r="G1146" s="35" t="str">
        <f t="shared" si="20"/>
        <v/>
      </c>
      <c r="H1146" s="49"/>
      <c r="I1146" s="47" t="str">
        <f t="shared" si="21"/>
        <v/>
      </c>
      <c r="J1146" s="50"/>
      <c r="K1146" s="45" t="b">
        <v>0</v>
      </c>
      <c r="L1146" s="45"/>
      <c r="M1146" s="45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46"/>
      <c r="BM1146" s="46"/>
      <c r="BN1146" s="46"/>
      <c r="BO1146" s="46"/>
    </row>
    <row r="1147">
      <c r="A1147" s="16" t="str">
        <f t="shared" si="14"/>
        <v/>
      </c>
      <c r="B1147" s="16" t="str">
        <f t="shared" si="15"/>
        <v/>
      </c>
      <c r="C1147" s="35" t="str">
        <f t="shared" si="16"/>
        <v/>
      </c>
      <c r="D1147" s="35" t="str">
        <f t="shared" si="17"/>
        <v/>
      </c>
      <c r="E1147" s="35" t="str">
        <f t="shared" si="18"/>
        <v/>
      </c>
      <c r="F1147" s="35" t="str">
        <f t="shared" si="19"/>
        <v/>
      </c>
      <c r="G1147" s="35" t="str">
        <f t="shared" si="20"/>
        <v/>
      </c>
      <c r="H1147" s="49"/>
      <c r="I1147" s="47" t="str">
        <f t="shared" si="21"/>
        <v/>
      </c>
      <c r="J1147" s="50"/>
      <c r="K1147" s="45" t="b">
        <v>0</v>
      </c>
      <c r="L1147" s="45"/>
      <c r="M1147" s="45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46"/>
      <c r="BM1147" s="46"/>
      <c r="BN1147" s="46"/>
      <c r="BO1147" s="46"/>
    </row>
    <row r="1148">
      <c r="A1148" s="16" t="str">
        <f t="shared" si="14"/>
        <v/>
      </c>
      <c r="B1148" s="16" t="str">
        <f t="shared" si="15"/>
        <v/>
      </c>
      <c r="C1148" s="35" t="str">
        <f t="shared" si="16"/>
        <v/>
      </c>
      <c r="D1148" s="35" t="str">
        <f t="shared" si="17"/>
        <v/>
      </c>
      <c r="E1148" s="35" t="str">
        <f t="shared" si="18"/>
        <v/>
      </c>
      <c r="F1148" s="35" t="str">
        <f t="shared" si="19"/>
        <v/>
      </c>
      <c r="G1148" s="35" t="str">
        <f t="shared" si="20"/>
        <v/>
      </c>
      <c r="H1148" s="49"/>
      <c r="I1148" s="47" t="str">
        <f t="shared" si="21"/>
        <v/>
      </c>
      <c r="J1148" s="50"/>
      <c r="K1148" s="45" t="b">
        <v>0</v>
      </c>
      <c r="L1148" s="45"/>
      <c r="M1148" s="45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46"/>
      <c r="BM1148" s="46"/>
      <c r="BN1148" s="46"/>
      <c r="BO1148" s="46"/>
    </row>
    <row r="1149">
      <c r="A1149" s="16" t="str">
        <f t="shared" si="14"/>
        <v/>
      </c>
      <c r="B1149" s="16" t="str">
        <f t="shared" si="15"/>
        <v/>
      </c>
      <c r="C1149" s="35" t="str">
        <f t="shared" si="16"/>
        <v/>
      </c>
      <c r="D1149" s="35" t="str">
        <f t="shared" si="17"/>
        <v/>
      </c>
      <c r="E1149" s="35" t="str">
        <f t="shared" si="18"/>
        <v/>
      </c>
      <c r="F1149" s="35" t="str">
        <f t="shared" si="19"/>
        <v/>
      </c>
      <c r="G1149" s="35" t="str">
        <f t="shared" si="20"/>
        <v/>
      </c>
      <c r="H1149" s="49"/>
      <c r="I1149" s="47" t="str">
        <f t="shared" si="21"/>
        <v/>
      </c>
      <c r="J1149" s="50"/>
      <c r="K1149" s="45" t="b">
        <v>0</v>
      </c>
      <c r="L1149" s="45"/>
      <c r="M1149" s="45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46"/>
      <c r="BM1149" s="46"/>
      <c r="BN1149" s="46"/>
      <c r="BO1149" s="46"/>
    </row>
    <row r="1150">
      <c r="A1150" s="16" t="str">
        <f t="shared" si="14"/>
        <v/>
      </c>
      <c r="B1150" s="16" t="str">
        <f t="shared" si="15"/>
        <v/>
      </c>
      <c r="C1150" s="35" t="str">
        <f t="shared" si="16"/>
        <v/>
      </c>
      <c r="D1150" s="35" t="str">
        <f t="shared" si="17"/>
        <v/>
      </c>
      <c r="E1150" s="35" t="str">
        <f t="shared" si="18"/>
        <v/>
      </c>
      <c r="F1150" s="35" t="str">
        <f t="shared" si="19"/>
        <v/>
      </c>
      <c r="G1150" s="35" t="str">
        <f t="shared" si="20"/>
        <v/>
      </c>
      <c r="H1150" s="49"/>
      <c r="I1150" s="47" t="str">
        <f t="shared" si="21"/>
        <v/>
      </c>
      <c r="J1150" s="50"/>
      <c r="K1150" s="45" t="b">
        <v>0</v>
      </c>
      <c r="L1150" s="45"/>
      <c r="M1150" s="45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  <c r="AI1150" s="26"/>
      <c r="AJ1150" s="26"/>
      <c r="AK1150" s="2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46"/>
      <c r="BM1150" s="46"/>
      <c r="BN1150" s="46"/>
      <c r="BO1150" s="46"/>
    </row>
    <row r="1151">
      <c r="A1151" s="16" t="str">
        <f t="shared" si="14"/>
        <v/>
      </c>
      <c r="B1151" s="16" t="str">
        <f t="shared" si="15"/>
        <v/>
      </c>
      <c r="C1151" s="35" t="str">
        <f t="shared" si="16"/>
        <v/>
      </c>
      <c r="D1151" s="35" t="str">
        <f t="shared" si="17"/>
        <v/>
      </c>
      <c r="E1151" s="35" t="str">
        <f t="shared" si="18"/>
        <v/>
      </c>
      <c r="F1151" s="35" t="str">
        <f t="shared" si="19"/>
        <v/>
      </c>
      <c r="G1151" s="35" t="str">
        <f t="shared" si="20"/>
        <v/>
      </c>
      <c r="H1151" s="49"/>
      <c r="I1151" s="47" t="str">
        <f t="shared" si="21"/>
        <v/>
      </c>
      <c r="J1151" s="50"/>
      <c r="K1151" s="45" t="b">
        <v>0</v>
      </c>
      <c r="L1151" s="45"/>
      <c r="M1151" s="45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  <c r="AI1151" s="26"/>
      <c r="AJ1151" s="26"/>
      <c r="AK1151" s="2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46"/>
      <c r="BM1151" s="46"/>
      <c r="BN1151" s="46"/>
      <c r="BO1151" s="46"/>
    </row>
    <row r="1152">
      <c r="A1152" s="16" t="str">
        <f t="shared" si="14"/>
        <v/>
      </c>
      <c r="B1152" s="16" t="str">
        <f t="shared" si="15"/>
        <v/>
      </c>
      <c r="C1152" s="35" t="str">
        <f t="shared" si="16"/>
        <v/>
      </c>
      <c r="D1152" s="35" t="str">
        <f t="shared" si="17"/>
        <v/>
      </c>
      <c r="E1152" s="35" t="str">
        <f t="shared" si="18"/>
        <v/>
      </c>
      <c r="F1152" s="35" t="str">
        <f t="shared" si="19"/>
        <v/>
      </c>
      <c r="G1152" s="35" t="str">
        <f t="shared" si="20"/>
        <v/>
      </c>
      <c r="H1152" s="49"/>
      <c r="I1152" s="47" t="str">
        <f t="shared" si="21"/>
        <v/>
      </c>
      <c r="J1152" s="50"/>
      <c r="K1152" s="45" t="b">
        <v>0</v>
      </c>
      <c r="L1152" s="45"/>
      <c r="M1152" s="45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  <c r="AI1152" s="26"/>
      <c r="AJ1152" s="26"/>
      <c r="AK1152" s="2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46"/>
      <c r="BM1152" s="46"/>
      <c r="BN1152" s="46"/>
      <c r="BO1152" s="46"/>
    </row>
    <row r="1153">
      <c r="A1153" s="16" t="str">
        <f t="shared" si="14"/>
        <v/>
      </c>
      <c r="B1153" s="16" t="str">
        <f t="shared" si="15"/>
        <v/>
      </c>
      <c r="C1153" s="35" t="str">
        <f t="shared" si="16"/>
        <v/>
      </c>
      <c r="D1153" s="35" t="str">
        <f t="shared" si="17"/>
        <v/>
      </c>
      <c r="E1153" s="35" t="str">
        <f t="shared" si="18"/>
        <v/>
      </c>
      <c r="F1153" s="35" t="str">
        <f t="shared" si="19"/>
        <v/>
      </c>
      <c r="G1153" s="35" t="str">
        <f t="shared" si="20"/>
        <v/>
      </c>
      <c r="H1153" s="49"/>
      <c r="I1153" s="47" t="str">
        <f t="shared" si="21"/>
        <v/>
      </c>
      <c r="J1153" s="50"/>
      <c r="K1153" s="45" t="b">
        <v>0</v>
      </c>
      <c r="L1153" s="45"/>
      <c r="M1153" s="45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  <c r="AI1153" s="26"/>
      <c r="AJ1153" s="26"/>
      <c r="AK1153" s="2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46"/>
      <c r="BM1153" s="46"/>
      <c r="BN1153" s="46"/>
      <c r="BO1153" s="46"/>
    </row>
    <row r="1154">
      <c r="A1154" s="16" t="str">
        <f t="shared" si="14"/>
        <v/>
      </c>
      <c r="B1154" s="16" t="str">
        <f t="shared" si="15"/>
        <v/>
      </c>
      <c r="C1154" s="35" t="str">
        <f t="shared" si="16"/>
        <v/>
      </c>
      <c r="D1154" s="35" t="str">
        <f t="shared" si="17"/>
        <v/>
      </c>
      <c r="E1154" s="35" t="str">
        <f t="shared" si="18"/>
        <v/>
      </c>
      <c r="F1154" s="35" t="str">
        <f t="shared" si="19"/>
        <v/>
      </c>
      <c r="G1154" s="35" t="str">
        <f t="shared" si="20"/>
        <v/>
      </c>
      <c r="H1154" s="49"/>
      <c r="I1154" s="47" t="str">
        <f t="shared" si="21"/>
        <v/>
      </c>
      <c r="J1154" s="50"/>
      <c r="K1154" s="45" t="b">
        <v>0</v>
      </c>
      <c r="L1154" s="45"/>
      <c r="M1154" s="45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6"/>
      <c r="AJ1154" s="26"/>
      <c r="AK1154" s="2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46"/>
      <c r="BM1154" s="46"/>
      <c r="BN1154" s="46"/>
      <c r="BO1154" s="46"/>
    </row>
    <row r="1155">
      <c r="A1155" s="16" t="str">
        <f t="shared" si="14"/>
        <v/>
      </c>
      <c r="B1155" s="16" t="str">
        <f t="shared" si="15"/>
        <v/>
      </c>
      <c r="C1155" s="35" t="str">
        <f t="shared" si="16"/>
        <v/>
      </c>
      <c r="D1155" s="35" t="str">
        <f t="shared" si="17"/>
        <v/>
      </c>
      <c r="E1155" s="35" t="str">
        <f t="shared" si="18"/>
        <v/>
      </c>
      <c r="F1155" s="35" t="str">
        <f t="shared" si="19"/>
        <v/>
      </c>
      <c r="G1155" s="35" t="str">
        <f t="shared" si="20"/>
        <v/>
      </c>
      <c r="H1155" s="49"/>
      <c r="I1155" s="47" t="str">
        <f t="shared" si="21"/>
        <v/>
      </c>
      <c r="J1155" s="50"/>
      <c r="K1155" s="45" t="b">
        <v>0</v>
      </c>
      <c r="L1155" s="45"/>
      <c r="M1155" s="45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  <c r="AI1155" s="26"/>
      <c r="AJ1155" s="26"/>
      <c r="AK1155" s="2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46"/>
      <c r="BM1155" s="46"/>
      <c r="BN1155" s="46"/>
      <c r="BO1155" s="46"/>
    </row>
    <row r="1156">
      <c r="A1156" s="16" t="str">
        <f t="shared" si="14"/>
        <v/>
      </c>
      <c r="B1156" s="16" t="str">
        <f t="shared" si="15"/>
        <v/>
      </c>
      <c r="C1156" s="35" t="str">
        <f t="shared" si="16"/>
        <v/>
      </c>
      <c r="D1156" s="35" t="str">
        <f t="shared" si="17"/>
        <v/>
      </c>
      <c r="E1156" s="35" t="str">
        <f t="shared" si="18"/>
        <v/>
      </c>
      <c r="F1156" s="35" t="str">
        <f t="shared" si="19"/>
        <v/>
      </c>
      <c r="G1156" s="35" t="str">
        <f t="shared" si="20"/>
        <v/>
      </c>
      <c r="H1156" s="49"/>
      <c r="I1156" s="47" t="str">
        <f t="shared" si="21"/>
        <v/>
      </c>
      <c r="J1156" s="50"/>
      <c r="K1156" s="45" t="b">
        <v>0</v>
      </c>
      <c r="L1156" s="45"/>
      <c r="M1156" s="45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46"/>
      <c r="BM1156" s="46"/>
      <c r="BN1156" s="46"/>
      <c r="BO1156" s="46"/>
    </row>
    <row r="1157">
      <c r="A1157" s="16" t="str">
        <f t="shared" si="14"/>
        <v/>
      </c>
      <c r="B1157" s="16" t="str">
        <f t="shared" si="15"/>
        <v/>
      </c>
      <c r="C1157" s="35" t="str">
        <f t="shared" si="16"/>
        <v/>
      </c>
      <c r="D1157" s="35" t="str">
        <f t="shared" si="17"/>
        <v/>
      </c>
      <c r="E1157" s="35" t="str">
        <f t="shared" si="18"/>
        <v/>
      </c>
      <c r="F1157" s="35" t="str">
        <f t="shared" si="19"/>
        <v/>
      </c>
      <c r="G1157" s="35" t="str">
        <f t="shared" si="20"/>
        <v/>
      </c>
      <c r="H1157" s="49"/>
      <c r="I1157" s="47" t="str">
        <f t="shared" si="21"/>
        <v/>
      </c>
      <c r="J1157" s="50"/>
      <c r="K1157" s="45" t="b">
        <v>0</v>
      </c>
      <c r="L1157" s="45"/>
      <c r="M1157" s="45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  <c r="AI1157" s="26"/>
      <c r="AJ1157" s="26"/>
      <c r="AK1157" s="2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46"/>
      <c r="BM1157" s="46"/>
      <c r="BN1157" s="46"/>
      <c r="BO1157" s="46"/>
    </row>
    <row r="1158">
      <c r="A1158" s="16" t="str">
        <f t="shared" si="14"/>
        <v/>
      </c>
      <c r="B1158" s="16" t="str">
        <f t="shared" si="15"/>
        <v/>
      </c>
      <c r="C1158" s="35" t="str">
        <f t="shared" si="16"/>
        <v/>
      </c>
      <c r="D1158" s="35" t="str">
        <f t="shared" si="17"/>
        <v/>
      </c>
      <c r="E1158" s="35" t="str">
        <f t="shared" si="18"/>
        <v/>
      </c>
      <c r="F1158" s="35" t="str">
        <f t="shared" si="19"/>
        <v/>
      </c>
      <c r="G1158" s="35" t="str">
        <f t="shared" si="20"/>
        <v/>
      </c>
      <c r="H1158" s="49"/>
      <c r="I1158" s="47" t="str">
        <f t="shared" si="21"/>
        <v/>
      </c>
      <c r="J1158" s="50"/>
      <c r="K1158" s="45" t="b">
        <v>0</v>
      </c>
      <c r="L1158" s="45"/>
      <c r="M1158" s="45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  <c r="AI1158" s="26"/>
      <c r="AJ1158" s="26"/>
      <c r="AK1158" s="2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46"/>
      <c r="BM1158" s="46"/>
      <c r="BN1158" s="46"/>
      <c r="BO1158" s="46"/>
    </row>
    <row r="1159">
      <c r="A1159" s="16" t="str">
        <f t="shared" si="14"/>
        <v/>
      </c>
      <c r="B1159" s="16" t="str">
        <f t="shared" si="15"/>
        <v/>
      </c>
      <c r="C1159" s="35" t="str">
        <f t="shared" si="16"/>
        <v/>
      </c>
      <c r="D1159" s="35" t="str">
        <f t="shared" si="17"/>
        <v/>
      </c>
      <c r="E1159" s="35" t="str">
        <f t="shared" si="18"/>
        <v/>
      </c>
      <c r="F1159" s="35" t="str">
        <f t="shared" si="19"/>
        <v/>
      </c>
      <c r="G1159" s="35" t="str">
        <f t="shared" si="20"/>
        <v/>
      </c>
      <c r="H1159" s="49"/>
      <c r="I1159" s="47" t="str">
        <f t="shared" si="21"/>
        <v/>
      </c>
      <c r="J1159" s="50"/>
      <c r="K1159" s="45" t="b">
        <v>0</v>
      </c>
      <c r="L1159" s="45"/>
      <c r="M1159" s="45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46"/>
      <c r="BM1159" s="46"/>
      <c r="BN1159" s="46"/>
      <c r="BO1159" s="46"/>
    </row>
    <row r="1160">
      <c r="A1160" s="16" t="str">
        <f t="shared" si="14"/>
        <v/>
      </c>
      <c r="B1160" s="16" t="str">
        <f t="shared" si="15"/>
        <v/>
      </c>
      <c r="C1160" s="35" t="str">
        <f t="shared" si="16"/>
        <v/>
      </c>
      <c r="D1160" s="35" t="str">
        <f t="shared" si="17"/>
        <v/>
      </c>
      <c r="E1160" s="35" t="str">
        <f t="shared" si="18"/>
        <v/>
      </c>
      <c r="F1160" s="35" t="str">
        <f t="shared" si="19"/>
        <v/>
      </c>
      <c r="G1160" s="35" t="str">
        <f t="shared" si="20"/>
        <v/>
      </c>
      <c r="H1160" s="49"/>
      <c r="I1160" s="47" t="str">
        <f t="shared" si="21"/>
        <v/>
      </c>
      <c r="J1160" s="50"/>
      <c r="K1160" s="45" t="b">
        <v>0</v>
      </c>
      <c r="L1160" s="45"/>
      <c r="M1160" s="45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46"/>
      <c r="BM1160" s="46"/>
      <c r="BN1160" s="46"/>
      <c r="BO1160" s="46"/>
    </row>
    <row r="1161">
      <c r="A1161" s="16" t="str">
        <f t="shared" si="14"/>
        <v/>
      </c>
      <c r="B1161" s="16" t="str">
        <f t="shared" si="15"/>
        <v/>
      </c>
      <c r="C1161" s="35" t="str">
        <f t="shared" si="16"/>
        <v/>
      </c>
      <c r="D1161" s="35" t="str">
        <f t="shared" si="17"/>
        <v/>
      </c>
      <c r="E1161" s="35" t="str">
        <f t="shared" si="18"/>
        <v/>
      </c>
      <c r="F1161" s="35" t="str">
        <f t="shared" si="19"/>
        <v/>
      </c>
      <c r="G1161" s="35" t="str">
        <f t="shared" si="20"/>
        <v/>
      </c>
      <c r="H1161" s="49"/>
      <c r="I1161" s="47" t="str">
        <f t="shared" si="21"/>
        <v/>
      </c>
      <c r="J1161" s="50"/>
      <c r="K1161" s="45" t="b">
        <v>0</v>
      </c>
      <c r="L1161" s="45"/>
      <c r="M1161" s="45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46"/>
      <c r="BM1161" s="46"/>
      <c r="BN1161" s="46"/>
      <c r="BO1161" s="46"/>
    </row>
    <row r="1162">
      <c r="A1162" s="16" t="str">
        <f t="shared" si="14"/>
        <v/>
      </c>
      <c r="B1162" s="16" t="str">
        <f t="shared" si="15"/>
        <v/>
      </c>
      <c r="C1162" s="35" t="str">
        <f t="shared" si="16"/>
        <v/>
      </c>
      <c r="D1162" s="35" t="str">
        <f t="shared" si="17"/>
        <v/>
      </c>
      <c r="E1162" s="35" t="str">
        <f t="shared" si="18"/>
        <v/>
      </c>
      <c r="F1162" s="35" t="str">
        <f t="shared" si="19"/>
        <v/>
      </c>
      <c r="G1162" s="35" t="str">
        <f t="shared" si="20"/>
        <v/>
      </c>
      <c r="H1162" s="49"/>
      <c r="I1162" s="47" t="str">
        <f t="shared" si="21"/>
        <v/>
      </c>
      <c r="J1162" s="50"/>
      <c r="K1162" s="45" t="b">
        <v>0</v>
      </c>
      <c r="L1162" s="45"/>
      <c r="M1162" s="45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/>
    </row>
    <row r="1163">
      <c r="A1163" s="16" t="str">
        <f t="shared" si="14"/>
        <v/>
      </c>
      <c r="B1163" s="16" t="str">
        <f t="shared" si="15"/>
        <v/>
      </c>
      <c r="C1163" s="35" t="str">
        <f t="shared" si="16"/>
        <v/>
      </c>
      <c r="D1163" s="35" t="str">
        <f t="shared" si="17"/>
        <v/>
      </c>
      <c r="E1163" s="35" t="str">
        <f t="shared" si="18"/>
        <v/>
      </c>
      <c r="F1163" s="35" t="str">
        <f t="shared" si="19"/>
        <v/>
      </c>
      <c r="G1163" s="35" t="str">
        <f t="shared" si="20"/>
        <v/>
      </c>
      <c r="H1163" s="49"/>
      <c r="I1163" s="47" t="str">
        <f t="shared" si="21"/>
        <v/>
      </c>
      <c r="J1163" s="50"/>
      <c r="K1163" s="45" t="b">
        <v>0</v>
      </c>
      <c r="L1163" s="45"/>
      <c r="M1163" s="45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46"/>
      <c r="BM1163" s="46"/>
      <c r="BN1163" s="46"/>
      <c r="BO1163" s="46"/>
    </row>
    <row r="1164">
      <c r="A1164" s="16" t="str">
        <f t="shared" si="14"/>
        <v/>
      </c>
      <c r="B1164" s="16" t="str">
        <f t="shared" si="15"/>
        <v/>
      </c>
      <c r="C1164" s="35" t="str">
        <f t="shared" si="16"/>
        <v/>
      </c>
      <c r="D1164" s="35" t="str">
        <f t="shared" si="17"/>
        <v/>
      </c>
      <c r="E1164" s="35" t="str">
        <f t="shared" si="18"/>
        <v/>
      </c>
      <c r="F1164" s="35" t="str">
        <f t="shared" si="19"/>
        <v/>
      </c>
      <c r="G1164" s="35" t="str">
        <f t="shared" si="20"/>
        <v/>
      </c>
      <c r="H1164" s="49"/>
      <c r="I1164" s="47" t="str">
        <f t="shared" si="21"/>
        <v/>
      </c>
      <c r="J1164" s="50"/>
      <c r="K1164" s="45" t="b">
        <v>0</v>
      </c>
      <c r="L1164" s="45"/>
      <c r="M1164" s="45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46"/>
      <c r="BM1164" s="46"/>
      <c r="BN1164" s="46"/>
      <c r="BO1164" s="46"/>
    </row>
    <row r="1165">
      <c r="A1165" s="16" t="str">
        <f t="shared" si="14"/>
        <v/>
      </c>
      <c r="B1165" s="16" t="str">
        <f t="shared" si="15"/>
        <v/>
      </c>
      <c r="C1165" s="35" t="str">
        <f t="shared" si="16"/>
        <v/>
      </c>
      <c r="D1165" s="35" t="str">
        <f t="shared" si="17"/>
        <v/>
      </c>
      <c r="E1165" s="35" t="str">
        <f t="shared" si="18"/>
        <v/>
      </c>
      <c r="F1165" s="35" t="str">
        <f t="shared" si="19"/>
        <v/>
      </c>
      <c r="G1165" s="35" t="str">
        <f t="shared" si="20"/>
        <v/>
      </c>
      <c r="H1165" s="49"/>
      <c r="I1165" s="47" t="str">
        <f t="shared" si="21"/>
        <v/>
      </c>
      <c r="J1165" s="50"/>
      <c r="K1165" s="45" t="b">
        <v>0</v>
      </c>
      <c r="L1165" s="45"/>
      <c r="M1165" s="45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46"/>
      <c r="BM1165" s="46"/>
      <c r="BN1165" s="46"/>
      <c r="BO1165" s="46"/>
    </row>
    <row r="1166">
      <c r="A1166" s="16" t="str">
        <f t="shared" si="14"/>
        <v/>
      </c>
      <c r="B1166" s="16" t="str">
        <f t="shared" si="15"/>
        <v/>
      </c>
      <c r="C1166" s="35" t="str">
        <f t="shared" si="16"/>
        <v/>
      </c>
      <c r="D1166" s="35" t="str">
        <f t="shared" si="17"/>
        <v/>
      </c>
      <c r="E1166" s="35" t="str">
        <f t="shared" si="18"/>
        <v/>
      </c>
      <c r="F1166" s="35" t="str">
        <f t="shared" si="19"/>
        <v/>
      </c>
      <c r="G1166" s="35" t="str">
        <f t="shared" si="20"/>
        <v/>
      </c>
      <c r="H1166" s="49"/>
      <c r="I1166" s="47" t="str">
        <f t="shared" si="21"/>
        <v/>
      </c>
      <c r="J1166" s="50"/>
      <c r="K1166" s="45" t="b">
        <v>0</v>
      </c>
      <c r="L1166" s="45"/>
      <c r="M1166" s="45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46"/>
      <c r="BM1166" s="46"/>
      <c r="BN1166" s="46"/>
      <c r="BO1166" s="46"/>
    </row>
    <row r="1167">
      <c r="A1167" s="16" t="str">
        <f t="shared" si="14"/>
        <v/>
      </c>
      <c r="B1167" s="16" t="str">
        <f t="shared" si="15"/>
        <v/>
      </c>
      <c r="C1167" s="35" t="str">
        <f t="shared" si="16"/>
        <v/>
      </c>
      <c r="D1167" s="35" t="str">
        <f t="shared" si="17"/>
        <v/>
      </c>
      <c r="E1167" s="35" t="str">
        <f t="shared" si="18"/>
        <v/>
      </c>
      <c r="F1167" s="35" t="str">
        <f t="shared" si="19"/>
        <v/>
      </c>
      <c r="G1167" s="35" t="str">
        <f t="shared" si="20"/>
        <v/>
      </c>
      <c r="H1167" s="49"/>
      <c r="I1167" s="47" t="str">
        <f t="shared" si="21"/>
        <v/>
      </c>
      <c r="J1167" s="50"/>
      <c r="K1167" s="45" t="b">
        <v>0</v>
      </c>
      <c r="L1167" s="45"/>
      <c r="M1167" s="45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46"/>
      <c r="BM1167" s="46"/>
      <c r="BN1167" s="46"/>
      <c r="BO1167" s="46"/>
    </row>
    <row r="1168">
      <c r="A1168" s="16" t="str">
        <f t="shared" si="14"/>
        <v/>
      </c>
      <c r="B1168" s="16" t="str">
        <f t="shared" si="15"/>
        <v/>
      </c>
      <c r="C1168" s="35" t="str">
        <f t="shared" si="16"/>
        <v/>
      </c>
      <c r="D1168" s="35" t="str">
        <f t="shared" si="17"/>
        <v/>
      </c>
      <c r="E1168" s="35" t="str">
        <f t="shared" si="18"/>
        <v/>
      </c>
      <c r="F1168" s="35" t="str">
        <f t="shared" si="19"/>
        <v/>
      </c>
      <c r="G1168" s="35" t="str">
        <f t="shared" si="20"/>
        <v/>
      </c>
      <c r="H1168" s="49"/>
      <c r="I1168" s="47" t="str">
        <f t="shared" si="21"/>
        <v/>
      </c>
      <c r="J1168" s="50"/>
      <c r="K1168" s="45" t="b">
        <v>0</v>
      </c>
      <c r="L1168" s="45"/>
      <c r="M1168" s="45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  <c r="AI1168" s="26"/>
      <c r="AJ1168" s="26"/>
      <c r="AK1168" s="2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46"/>
      <c r="BM1168" s="46"/>
      <c r="BN1168" s="46"/>
      <c r="BO1168" s="46"/>
    </row>
    <row r="1169">
      <c r="A1169" s="16" t="str">
        <f t="shared" si="14"/>
        <v/>
      </c>
      <c r="B1169" s="16" t="str">
        <f t="shared" si="15"/>
        <v/>
      </c>
      <c r="C1169" s="35" t="str">
        <f t="shared" si="16"/>
        <v/>
      </c>
      <c r="D1169" s="35" t="str">
        <f t="shared" si="17"/>
        <v/>
      </c>
      <c r="E1169" s="35" t="str">
        <f t="shared" si="18"/>
        <v/>
      </c>
      <c r="F1169" s="35" t="str">
        <f t="shared" si="19"/>
        <v/>
      </c>
      <c r="G1169" s="35" t="str">
        <f t="shared" si="20"/>
        <v/>
      </c>
      <c r="H1169" s="49"/>
      <c r="I1169" s="47" t="str">
        <f t="shared" si="21"/>
        <v/>
      </c>
      <c r="J1169" s="50"/>
      <c r="K1169" s="45" t="b">
        <v>0</v>
      </c>
      <c r="L1169" s="45"/>
      <c r="M1169" s="45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  <c r="AI1169" s="26"/>
      <c r="AJ1169" s="26"/>
      <c r="AK1169" s="2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46"/>
      <c r="BM1169" s="46"/>
      <c r="BN1169" s="46"/>
      <c r="BO1169" s="46"/>
    </row>
    <row r="1170">
      <c r="A1170" s="16" t="str">
        <f t="shared" si="14"/>
        <v/>
      </c>
      <c r="B1170" s="16" t="str">
        <f t="shared" si="15"/>
        <v/>
      </c>
      <c r="C1170" s="35" t="str">
        <f t="shared" si="16"/>
        <v/>
      </c>
      <c r="D1170" s="35" t="str">
        <f t="shared" si="17"/>
        <v/>
      </c>
      <c r="E1170" s="35" t="str">
        <f t="shared" si="18"/>
        <v/>
      </c>
      <c r="F1170" s="35" t="str">
        <f t="shared" si="19"/>
        <v/>
      </c>
      <c r="G1170" s="35" t="str">
        <f t="shared" si="20"/>
        <v/>
      </c>
      <c r="H1170" s="49"/>
      <c r="I1170" s="47" t="str">
        <f t="shared" si="21"/>
        <v/>
      </c>
      <c r="J1170" s="50"/>
      <c r="K1170" s="45" t="b">
        <v>0</v>
      </c>
      <c r="L1170" s="45"/>
      <c r="M1170" s="45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46"/>
      <c r="BM1170" s="46"/>
      <c r="BN1170" s="46"/>
      <c r="BO1170" s="46"/>
    </row>
    <row r="1171">
      <c r="A1171" s="16" t="str">
        <f t="shared" si="14"/>
        <v/>
      </c>
      <c r="B1171" s="16" t="str">
        <f t="shared" si="15"/>
        <v/>
      </c>
      <c r="C1171" s="35" t="str">
        <f t="shared" si="16"/>
        <v/>
      </c>
      <c r="D1171" s="35" t="str">
        <f t="shared" si="17"/>
        <v/>
      </c>
      <c r="E1171" s="35" t="str">
        <f t="shared" si="18"/>
        <v/>
      </c>
      <c r="F1171" s="35" t="str">
        <f t="shared" si="19"/>
        <v/>
      </c>
      <c r="G1171" s="35" t="str">
        <f t="shared" si="20"/>
        <v/>
      </c>
      <c r="H1171" s="49"/>
      <c r="I1171" s="47" t="str">
        <f t="shared" si="21"/>
        <v/>
      </c>
      <c r="J1171" s="50"/>
      <c r="K1171" s="45" t="b">
        <v>0</v>
      </c>
      <c r="L1171" s="45"/>
      <c r="M1171" s="45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46"/>
      <c r="BM1171" s="46"/>
      <c r="BN1171" s="46"/>
      <c r="BO1171" s="46"/>
    </row>
    <row r="1172">
      <c r="A1172" s="16" t="str">
        <f t="shared" si="14"/>
        <v/>
      </c>
      <c r="B1172" s="16" t="str">
        <f t="shared" si="15"/>
        <v/>
      </c>
      <c r="C1172" s="35" t="str">
        <f t="shared" si="16"/>
        <v/>
      </c>
      <c r="D1172" s="35" t="str">
        <f t="shared" si="17"/>
        <v/>
      </c>
      <c r="E1172" s="35" t="str">
        <f t="shared" si="18"/>
        <v/>
      </c>
      <c r="F1172" s="35" t="str">
        <f t="shared" si="19"/>
        <v/>
      </c>
      <c r="G1172" s="35" t="str">
        <f t="shared" si="20"/>
        <v/>
      </c>
      <c r="H1172" s="49"/>
      <c r="I1172" s="47" t="str">
        <f t="shared" si="21"/>
        <v/>
      </c>
      <c r="J1172" s="50"/>
      <c r="K1172" s="45" t="b">
        <v>0</v>
      </c>
      <c r="L1172" s="45"/>
      <c r="M1172" s="45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  <c r="AI1172" s="26"/>
      <c r="AJ1172" s="26"/>
      <c r="AK1172" s="2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  <c r="BI1172" s="46"/>
      <c r="BJ1172" s="46"/>
      <c r="BK1172" s="46"/>
      <c r="BL1172" s="46"/>
      <c r="BM1172" s="46"/>
      <c r="BN1172" s="46"/>
      <c r="BO1172" s="46"/>
    </row>
    <row r="1173">
      <c r="A1173" s="16" t="str">
        <f t="shared" si="14"/>
        <v/>
      </c>
      <c r="B1173" s="16" t="str">
        <f t="shared" si="15"/>
        <v/>
      </c>
      <c r="C1173" s="35" t="str">
        <f t="shared" si="16"/>
        <v/>
      </c>
      <c r="D1173" s="35" t="str">
        <f t="shared" si="17"/>
        <v/>
      </c>
      <c r="E1173" s="35" t="str">
        <f t="shared" si="18"/>
        <v/>
      </c>
      <c r="F1173" s="35" t="str">
        <f t="shared" si="19"/>
        <v/>
      </c>
      <c r="G1173" s="35" t="str">
        <f t="shared" si="20"/>
        <v/>
      </c>
      <c r="H1173" s="49"/>
      <c r="I1173" s="47" t="str">
        <f t="shared" si="21"/>
        <v/>
      </c>
      <c r="J1173" s="50"/>
      <c r="K1173" s="45" t="b">
        <v>0</v>
      </c>
      <c r="L1173" s="45"/>
      <c r="M1173" s="45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6"/>
      <c r="AJ1173" s="26"/>
      <c r="AK1173" s="2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46"/>
      <c r="BM1173" s="46"/>
      <c r="BN1173" s="46"/>
      <c r="BO1173" s="46"/>
    </row>
    <row r="1174">
      <c r="A1174" s="16" t="str">
        <f t="shared" si="14"/>
        <v/>
      </c>
      <c r="B1174" s="16" t="str">
        <f t="shared" si="15"/>
        <v/>
      </c>
      <c r="C1174" s="35" t="str">
        <f t="shared" si="16"/>
        <v/>
      </c>
      <c r="D1174" s="35" t="str">
        <f t="shared" si="17"/>
        <v/>
      </c>
      <c r="E1174" s="35" t="str">
        <f t="shared" si="18"/>
        <v/>
      </c>
      <c r="F1174" s="35" t="str">
        <f t="shared" si="19"/>
        <v/>
      </c>
      <c r="G1174" s="35" t="str">
        <f t="shared" si="20"/>
        <v/>
      </c>
      <c r="H1174" s="49"/>
      <c r="I1174" s="47" t="str">
        <f t="shared" si="21"/>
        <v/>
      </c>
      <c r="J1174" s="50"/>
      <c r="K1174" s="45" t="b">
        <v>0</v>
      </c>
      <c r="L1174" s="45"/>
      <c r="M1174" s="45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46"/>
      <c r="BM1174" s="46"/>
      <c r="BN1174" s="46"/>
      <c r="BO1174" s="46"/>
    </row>
    <row r="1175">
      <c r="A1175" s="16" t="str">
        <f t="shared" si="14"/>
        <v/>
      </c>
      <c r="B1175" s="16" t="str">
        <f t="shared" si="15"/>
        <v/>
      </c>
      <c r="C1175" s="35" t="str">
        <f t="shared" si="16"/>
        <v/>
      </c>
      <c r="D1175" s="35" t="str">
        <f t="shared" si="17"/>
        <v/>
      </c>
      <c r="E1175" s="35" t="str">
        <f t="shared" si="18"/>
        <v/>
      </c>
      <c r="F1175" s="35" t="str">
        <f t="shared" si="19"/>
        <v/>
      </c>
      <c r="G1175" s="35" t="str">
        <f t="shared" si="20"/>
        <v/>
      </c>
      <c r="H1175" s="49"/>
      <c r="I1175" s="47" t="str">
        <f t="shared" si="21"/>
        <v/>
      </c>
      <c r="J1175" s="50"/>
      <c r="K1175" s="45" t="b">
        <v>0</v>
      </c>
      <c r="L1175" s="45"/>
      <c r="M1175" s="45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  <c r="AI1175" s="26"/>
      <c r="AJ1175" s="26"/>
      <c r="AK1175" s="2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46"/>
      <c r="BM1175" s="46"/>
      <c r="BN1175" s="46"/>
      <c r="BO1175" s="46"/>
    </row>
    <row r="1176">
      <c r="A1176" s="16" t="str">
        <f t="shared" si="14"/>
        <v/>
      </c>
      <c r="B1176" s="16" t="str">
        <f t="shared" si="15"/>
        <v/>
      </c>
      <c r="C1176" s="35" t="str">
        <f t="shared" si="16"/>
        <v/>
      </c>
      <c r="D1176" s="35" t="str">
        <f t="shared" si="17"/>
        <v/>
      </c>
      <c r="E1176" s="35" t="str">
        <f t="shared" si="18"/>
        <v/>
      </c>
      <c r="F1176" s="35" t="str">
        <f t="shared" si="19"/>
        <v/>
      </c>
      <c r="G1176" s="35" t="str">
        <f t="shared" si="20"/>
        <v/>
      </c>
      <c r="H1176" s="49"/>
      <c r="I1176" s="47" t="str">
        <f t="shared" si="21"/>
        <v/>
      </c>
      <c r="J1176" s="50"/>
      <c r="K1176" s="45" t="b">
        <v>0</v>
      </c>
      <c r="L1176" s="45"/>
      <c r="M1176" s="45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</row>
    <row r="1177">
      <c r="A1177" s="16" t="str">
        <f t="shared" si="14"/>
        <v/>
      </c>
      <c r="B1177" s="16" t="str">
        <f t="shared" si="15"/>
        <v/>
      </c>
      <c r="C1177" s="35" t="str">
        <f t="shared" si="16"/>
        <v/>
      </c>
      <c r="D1177" s="35" t="str">
        <f t="shared" si="17"/>
        <v/>
      </c>
      <c r="E1177" s="35" t="str">
        <f t="shared" si="18"/>
        <v/>
      </c>
      <c r="F1177" s="35" t="str">
        <f t="shared" si="19"/>
        <v/>
      </c>
      <c r="G1177" s="35" t="str">
        <f t="shared" si="20"/>
        <v/>
      </c>
      <c r="H1177" s="49"/>
      <c r="I1177" s="47" t="str">
        <f t="shared" si="21"/>
        <v/>
      </c>
      <c r="J1177" s="50"/>
      <c r="K1177" s="45" t="b">
        <v>0</v>
      </c>
      <c r="L1177" s="45"/>
      <c r="M1177" s="45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  <c r="AI1177" s="26"/>
      <c r="AJ1177" s="26"/>
      <c r="AK1177" s="2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</row>
    <row r="1178">
      <c r="A1178" s="16" t="str">
        <f t="shared" si="14"/>
        <v/>
      </c>
      <c r="B1178" s="16" t="str">
        <f t="shared" si="15"/>
        <v/>
      </c>
      <c r="C1178" s="35" t="str">
        <f t="shared" si="16"/>
        <v/>
      </c>
      <c r="D1178" s="35" t="str">
        <f t="shared" si="17"/>
        <v/>
      </c>
      <c r="E1178" s="35" t="str">
        <f t="shared" si="18"/>
        <v/>
      </c>
      <c r="F1178" s="35" t="str">
        <f t="shared" si="19"/>
        <v/>
      </c>
      <c r="G1178" s="35" t="str">
        <f t="shared" si="20"/>
        <v/>
      </c>
      <c r="H1178" s="49"/>
      <c r="I1178" s="47" t="str">
        <f t="shared" si="21"/>
        <v/>
      </c>
      <c r="J1178" s="50"/>
      <c r="K1178" s="45" t="b">
        <v>0</v>
      </c>
      <c r="L1178" s="45"/>
      <c r="M1178" s="45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  <c r="AI1178" s="26"/>
      <c r="AJ1178" s="26"/>
      <c r="AK1178" s="2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</row>
    <row r="1179">
      <c r="A1179" s="16" t="str">
        <f t="shared" si="14"/>
        <v/>
      </c>
      <c r="B1179" s="16" t="str">
        <f t="shared" si="15"/>
        <v/>
      </c>
      <c r="C1179" s="35" t="str">
        <f t="shared" si="16"/>
        <v/>
      </c>
      <c r="D1179" s="35" t="str">
        <f t="shared" si="17"/>
        <v/>
      </c>
      <c r="E1179" s="35" t="str">
        <f t="shared" si="18"/>
        <v/>
      </c>
      <c r="F1179" s="35" t="str">
        <f t="shared" si="19"/>
        <v/>
      </c>
      <c r="G1179" s="35" t="str">
        <f t="shared" si="20"/>
        <v/>
      </c>
      <c r="H1179" s="49"/>
      <c r="I1179" s="47" t="str">
        <f t="shared" si="21"/>
        <v/>
      </c>
      <c r="J1179" s="50"/>
      <c r="K1179" s="45" t="b">
        <v>0</v>
      </c>
      <c r="L1179" s="45"/>
      <c r="M1179" s="45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  <c r="AI1179" s="26"/>
      <c r="AJ1179" s="26"/>
      <c r="AK1179" s="2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</row>
    <row r="1180">
      <c r="A1180" s="16" t="str">
        <f t="shared" si="14"/>
        <v/>
      </c>
      <c r="B1180" s="16" t="str">
        <f t="shared" si="15"/>
        <v/>
      </c>
      <c r="C1180" s="35" t="str">
        <f t="shared" si="16"/>
        <v/>
      </c>
      <c r="D1180" s="35" t="str">
        <f t="shared" si="17"/>
        <v/>
      </c>
      <c r="E1180" s="35" t="str">
        <f t="shared" si="18"/>
        <v/>
      </c>
      <c r="F1180" s="35" t="str">
        <f t="shared" si="19"/>
        <v/>
      </c>
      <c r="G1180" s="35" t="str">
        <f t="shared" si="20"/>
        <v/>
      </c>
      <c r="H1180" s="49"/>
      <c r="I1180" s="47" t="str">
        <f t="shared" si="21"/>
        <v/>
      </c>
      <c r="J1180" s="50"/>
      <c r="K1180" s="45" t="b">
        <v>0</v>
      </c>
      <c r="L1180" s="45"/>
      <c r="M1180" s="45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46"/>
      <c r="BM1180" s="46"/>
      <c r="BN1180" s="46"/>
      <c r="BO1180" s="46"/>
    </row>
    <row r="1181">
      <c r="A1181" s="16" t="str">
        <f t="shared" si="14"/>
        <v/>
      </c>
      <c r="B1181" s="16" t="str">
        <f t="shared" si="15"/>
        <v/>
      </c>
      <c r="C1181" s="35" t="str">
        <f t="shared" si="16"/>
        <v/>
      </c>
      <c r="D1181" s="35" t="str">
        <f t="shared" si="17"/>
        <v/>
      </c>
      <c r="E1181" s="35" t="str">
        <f t="shared" si="18"/>
        <v/>
      </c>
      <c r="F1181" s="35" t="str">
        <f t="shared" si="19"/>
        <v/>
      </c>
      <c r="G1181" s="35" t="str">
        <f t="shared" si="20"/>
        <v/>
      </c>
      <c r="H1181" s="49"/>
      <c r="I1181" s="47" t="str">
        <f t="shared" si="21"/>
        <v/>
      </c>
      <c r="J1181" s="50"/>
      <c r="K1181" s="45" t="b">
        <v>0</v>
      </c>
      <c r="L1181" s="45"/>
      <c r="M1181" s="45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</row>
    <row r="1182">
      <c r="A1182" s="16" t="str">
        <f t="shared" si="14"/>
        <v/>
      </c>
      <c r="B1182" s="16" t="str">
        <f t="shared" si="15"/>
        <v/>
      </c>
      <c r="C1182" s="35" t="str">
        <f t="shared" si="16"/>
        <v/>
      </c>
      <c r="D1182" s="35" t="str">
        <f t="shared" si="17"/>
        <v/>
      </c>
      <c r="E1182" s="35" t="str">
        <f t="shared" si="18"/>
        <v/>
      </c>
      <c r="F1182" s="35" t="str">
        <f t="shared" si="19"/>
        <v/>
      </c>
      <c r="G1182" s="35" t="str">
        <f t="shared" si="20"/>
        <v/>
      </c>
      <c r="H1182" s="49"/>
      <c r="I1182" s="47" t="str">
        <f t="shared" si="21"/>
        <v/>
      </c>
      <c r="J1182" s="50"/>
      <c r="K1182" s="45" t="b">
        <v>0</v>
      </c>
      <c r="L1182" s="45"/>
      <c r="M1182" s="45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</row>
    <row r="1183">
      <c r="A1183" s="16" t="str">
        <f t="shared" si="14"/>
        <v/>
      </c>
      <c r="B1183" s="16" t="str">
        <f t="shared" si="15"/>
        <v/>
      </c>
      <c r="C1183" s="35" t="str">
        <f t="shared" si="16"/>
        <v/>
      </c>
      <c r="D1183" s="35" t="str">
        <f t="shared" si="17"/>
        <v/>
      </c>
      <c r="E1183" s="35" t="str">
        <f t="shared" si="18"/>
        <v/>
      </c>
      <c r="F1183" s="35" t="str">
        <f t="shared" si="19"/>
        <v/>
      </c>
      <c r="G1183" s="35" t="str">
        <f t="shared" si="20"/>
        <v/>
      </c>
      <c r="H1183" s="49"/>
      <c r="I1183" s="47" t="str">
        <f t="shared" si="21"/>
        <v/>
      </c>
      <c r="J1183" s="50"/>
      <c r="K1183" s="45" t="b">
        <v>0</v>
      </c>
      <c r="L1183" s="45"/>
      <c r="M1183" s="45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  <c r="AI1183" s="26"/>
      <c r="AJ1183" s="26"/>
      <c r="AK1183" s="2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46"/>
      <c r="BN1183" s="46"/>
      <c r="BO1183" s="46"/>
    </row>
    <row r="1184">
      <c r="A1184" s="16" t="str">
        <f t="shared" si="14"/>
        <v/>
      </c>
      <c r="B1184" s="16" t="str">
        <f t="shared" si="15"/>
        <v/>
      </c>
      <c r="C1184" s="35" t="str">
        <f t="shared" si="16"/>
        <v/>
      </c>
      <c r="D1184" s="35" t="str">
        <f t="shared" si="17"/>
        <v/>
      </c>
      <c r="E1184" s="35" t="str">
        <f t="shared" si="18"/>
        <v/>
      </c>
      <c r="F1184" s="35" t="str">
        <f t="shared" si="19"/>
        <v/>
      </c>
      <c r="G1184" s="35" t="str">
        <f t="shared" si="20"/>
        <v/>
      </c>
      <c r="H1184" s="49"/>
      <c r="I1184" s="47" t="str">
        <f t="shared" si="21"/>
        <v/>
      </c>
      <c r="J1184" s="50"/>
      <c r="K1184" s="45" t="b">
        <v>0</v>
      </c>
      <c r="L1184" s="45"/>
      <c r="M1184" s="45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  <c r="AI1184" s="26"/>
      <c r="AJ1184" s="26"/>
      <c r="AK1184" s="2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46"/>
      <c r="BN1184" s="46"/>
      <c r="BO1184" s="46"/>
    </row>
    <row r="1185">
      <c r="A1185" s="16" t="str">
        <f t="shared" si="14"/>
        <v/>
      </c>
      <c r="B1185" s="16" t="str">
        <f t="shared" si="15"/>
        <v/>
      </c>
      <c r="C1185" s="35" t="str">
        <f t="shared" si="16"/>
        <v/>
      </c>
      <c r="D1185" s="35" t="str">
        <f t="shared" si="17"/>
        <v/>
      </c>
      <c r="E1185" s="35" t="str">
        <f t="shared" si="18"/>
        <v/>
      </c>
      <c r="F1185" s="35" t="str">
        <f t="shared" si="19"/>
        <v/>
      </c>
      <c r="G1185" s="35" t="str">
        <f t="shared" si="20"/>
        <v/>
      </c>
      <c r="H1185" s="49"/>
      <c r="I1185" s="47" t="str">
        <f t="shared" si="21"/>
        <v/>
      </c>
      <c r="J1185" s="50"/>
      <c r="K1185" s="45" t="b">
        <v>0</v>
      </c>
      <c r="L1185" s="45"/>
      <c r="M1185" s="45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46"/>
      <c r="BN1185" s="46"/>
      <c r="BO1185" s="46"/>
    </row>
    <row r="1186">
      <c r="A1186" s="16" t="str">
        <f t="shared" si="14"/>
        <v/>
      </c>
      <c r="B1186" s="16" t="str">
        <f t="shared" si="15"/>
        <v/>
      </c>
      <c r="C1186" s="35" t="str">
        <f t="shared" si="16"/>
        <v/>
      </c>
      <c r="D1186" s="35" t="str">
        <f t="shared" si="17"/>
        <v/>
      </c>
      <c r="E1186" s="35" t="str">
        <f t="shared" si="18"/>
        <v/>
      </c>
      <c r="F1186" s="35" t="str">
        <f t="shared" si="19"/>
        <v/>
      </c>
      <c r="G1186" s="35" t="str">
        <f t="shared" si="20"/>
        <v/>
      </c>
      <c r="H1186" s="49"/>
      <c r="I1186" s="47" t="str">
        <f t="shared" si="21"/>
        <v/>
      </c>
      <c r="J1186" s="50"/>
      <c r="K1186" s="45" t="b">
        <v>0</v>
      </c>
      <c r="L1186" s="45"/>
      <c r="M1186" s="45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  <c r="AI1186" s="26"/>
      <c r="AJ1186" s="26"/>
      <c r="AK1186" s="2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46"/>
      <c r="BN1186" s="46"/>
      <c r="BO1186" s="46"/>
    </row>
    <row r="1187">
      <c r="A1187" s="16" t="str">
        <f t="shared" si="14"/>
        <v/>
      </c>
      <c r="B1187" s="16" t="str">
        <f t="shared" si="15"/>
        <v/>
      </c>
      <c r="C1187" s="35" t="str">
        <f t="shared" si="16"/>
        <v/>
      </c>
      <c r="D1187" s="35" t="str">
        <f t="shared" si="17"/>
        <v/>
      </c>
      <c r="E1187" s="35" t="str">
        <f t="shared" si="18"/>
        <v/>
      </c>
      <c r="F1187" s="35" t="str">
        <f t="shared" si="19"/>
        <v/>
      </c>
      <c r="G1187" s="35" t="str">
        <f t="shared" si="20"/>
        <v/>
      </c>
      <c r="H1187" s="49"/>
      <c r="I1187" s="47" t="str">
        <f t="shared" si="21"/>
        <v/>
      </c>
      <c r="J1187" s="50"/>
      <c r="K1187" s="45" t="b">
        <v>0</v>
      </c>
      <c r="L1187" s="45"/>
      <c r="M1187" s="45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46"/>
      <c r="BM1187" s="46"/>
      <c r="BN1187" s="46"/>
      <c r="BO1187" s="46"/>
    </row>
    <row r="1188">
      <c r="A1188" s="16" t="str">
        <f t="shared" si="14"/>
        <v/>
      </c>
      <c r="B1188" s="16" t="str">
        <f t="shared" si="15"/>
        <v/>
      </c>
      <c r="C1188" s="35" t="str">
        <f t="shared" si="16"/>
        <v/>
      </c>
      <c r="D1188" s="35" t="str">
        <f t="shared" si="17"/>
        <v/>
      </c>
      <c r="E1188" s="35" t="str">
        <f t="shared" si="18"/>
        <v/>
      </c>
      <c r="F1188" s="35" t="str">
        <f t="shared" si="19"/>
        <v/>
      </c>
      <c r="G1188" s="35" t="str">
        <f t="shared" si="20"/>
        <v/>
      </c>
      <c r="H1188" s="49"/>
      <c r="I1188" s="47" t="str">
        <f t="shared" si="21"/>
        <v/>
      </c>
      <c r="J1188" s="50"/>
      <c r="K1188" s="45" t="b">
        <v>0</v>
      </c>
      <c r="L1188" s="45"/>
      <c r="M1188" s="45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46"/>
      <c r="BN1188" s="46"/>
      <c r="BO1188" s="46"/>
    </row>
    <row r="1189">
      <c r="A1189" s="16" t="str">
        <f t="shared" si="14"/>
        <v/>
      </c>
      <c r="B1189" s="16" t="str">
        <f t="shared" si="15"/>
        <v/>
      </c>
      <c r="C1189" s="35" t="str">
        <f t="shared" si="16"/>
        <v/>
      </c>
      <c r="D1189" s="35" t="str">
        <f t="shared" si="17"/>
        <v/>
      </c>
      <c r="E1189" s="35" t="str">
        <f t="shared" si="18"/>
        <v/>
      </c>
      <c r="F1189" s="35" t="str">
        <f t="shared" si="19"/>
        <v/>
      </c>
      <c r="G1189" s="35" t="str">
        <f t="shared" si="20"/>
        <v/>
      </c>
      <c r="H1189" s="49"/>
      <c r="I1189" s="47" t="str">
        <f t="shared" si="21"/>
        <v/>
      </c>
      <c r="J1189" s="50"/>
      <c r="K1189" s="45" t="b">
        <v>0</v>
      </c>
      <c r="L1189" s="45"/>
      <c r="M1189" s="45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46"/>
      <c r="BM1189" s="46"/>
      <c r="BN1189" s="46"/>
      <c r="BO1189" s="46"/>
    </row>
    <row r="1190">
      <c r="A1190" s="16" t="str">
        <f t="shared" si="14"/>
        <v/>
      </c>
      <c r="B1190" s="16" t="str">
        <f t="shared" si="15"/>
        <v/>
      </c>
      <c r="C1190" s="35" t="str">
        <f t="shared" si="16"/>
        <v/>
      </c>
      <c r="D1190" s="35" t="str">
        <f t="shared" si="17"/>
        <v/>
      </c>
      <c r="E1190" s="35" t="str">
        <f t="shared" si="18"/>
        <v/>
      </c>
      <c r="F1190" s="35" t="str">
        <f t="shared" si="19"/>
        <v/>
      </c>
      <c r="G1190" s="35" t="str">
        <f t="shared" si="20"/>
        <v/>
      </c>
      <c r="H1190" s="49"/>
      <c r="I1190" s="47" t="str">
        <f t="shared" si="21"/>
        <v/>
      </c>
      <c r="J1190" s="50"/>
      <c r="K1190" s="45" t="b">
        <v>0</v>
      </c>
      <c r="L1190" s="45"/>
      <c r="M1190" s="45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46"/>
      <c r="BM1190" s="46"/>
      <c r="BN1190" s="46"/>
      <c r="BO1190" s="46"/>
    </row>
    <row r="1191">
      <c r="A1191" s="16" t="str">
        <f t="shared" si="14"/>
        <v/>
      </c>
      <c r="B1191" s="16" t="str">
        <f t="shared" si="15"/>
        <v/>
      </c>
      <c r="C1191" s="35" t="str">
        <f t="shared" si="16"/>
        <v/>
      </c>
      <c r="D1191" s="35" t="str">
        <f t="shared" si="17"/>
        <v/>
      </c>
      <c r="E1191" s="35" t="str">
        <f t="shared" si="18"/>
        <v/>
      </c>
      <c r="F1191" s="35" t="str">
        <f t="shared" si="19"/>
        <v/>
      </c>
      <c r="G1191" s="35" t="str">
        <f t="shared" si="20"/>
        <v/>
      </c>
      <c r="H1191" s="49"/>
      <c r="I1191" s="47" t="str">
        <f t="shared" si="21"/>
        <v/>
      </c>
      <c r="J1191" s="50"/>
      <c r="K1191" s="45" t="b">
        <v>0</v>
      </c>
      <c r="L1191" s="45"/>
      <c r="M1191" s="45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46"/>
      <c r="BN1191" s="46"/>
      <c r="BO1191" s="46"/>
    </row>
    <row r="1192">
      <c r="A1192" s="16" t="str">
        <f t="shared" si="14"/>
        <v/>
      </c>
      <c r="B1192" s="16" t="str">
        <f t="shared" si="15"/>
        <v/>
      </c>
      <c r="C1192" s="35" t="str">
        <f t="shared" si="16"/>
        <v/>
      </c>
      <c r="D1192" s="35" t="str">
        <f t="shared" si="17"/>
        <v/>
      </c>
      <c r="E1192" s="35" t="str">
        <f t="shared" si="18"/>
        <v/>
      </c>
      <c r="F1192" s="35" t="str">
        <f t="shared" si="19"/>
        <v/>
      </c>
      <c r="G1192" s="35" t="str">
        <f t="shared" si="20"/>
        <v/>
      </c>
      <c r="H1192" s="49"/>
      <c r="I1192" s="47" t="str">
        <f t="shared" si="21"/>
        <v/>
      </c>
      <c r="J1192" s="50"/>
      <c r="K1192" s="45" t="b">
        <v>0</v>
      </c>
      <c r="L1192" s="45"/>
      <c r="M1192" s="45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46"/>
      <c r="BN1192" s="46"/>
      <c r="BO1192" s="46"/>
    </row>
    <row r="1193">
      <c r="A1193" s="16" t="str">
        <f t="shared" si="14"/>
        <v/>
      </c>
      <c r="B1193" s="16" t="str">
        <f t="shared" si="15"/>
        <v/>
      </c>
      <c r="C1193" s="35" t="str">
        <f t="shared" si="16"/>
        <v/>
      </c>
      <c r="D1193" s="35" t="str">
        <f t="shared" si="17"/>
        <v/>
      </c>
      <c r="E1193" s="35" t="str">
        <f t="shared" si="18"/>
        <v/>
      </c>
      <c r="F1193" s="35" t="str">
        <f t="shared" si="19"/>
        <v/>
      </c>
      <c r="G1193" s="35" t="str">
        <f t="shared" si="20"/>
        <v/>
      </c>
      <c r="H1193" s="49"/>
      <c r="I1193" s="47" t="str">
        <f t="shared" si="21"/>
        <v/>
      </c>
      <c r="J1193" s="50"/>
      <c r="K1193" s="45" t="b">
        <v>0</v>
      </c>
      <c r="L1193" s="45"/>
      <c r="M1193" s="45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46"/>
      <c r="BN1193" s="46"/>
      <c r="BO1193" s="46"/>
    </row>
    <row r="1194">
      <c r="A1194" s="16" t="str">
        <f t="shared" si="14"/>
        <v/>
      </c>
      <c r="B1194" s="16" t="str">
        <f t="shared" si="15"/>
        <v/>
      </c>
      <c r="C1194" s="35" t="str">
        <f t="shared" si="16"/>
        <v/>
      </c>
      <c r="D1194" s="35" t="str">
        <f t="shared" si="17"/>
        <v/>
      </c>
      <c r="E1194" s="35" t="str">
        <f t="shared" si="18"/>
        <v/>
      </c>
      <c r="F1194" s="35" t="str">
        <f t="shared" si="19"/>
        <v/>
      </c>
      <c r="G1194" s="35" t="str">
        <f t="shared" si="20"/>
        <v/>
      </c>
      <c r="H1194" s="49"/>
      <c r="I1194" s="47" t="str">
        <f t="shared" si="21"/>
        <v/>
      </c>
      <c r="J1194" s="50"/>
      <c r="K1194" s="45" t="b">
        <v>0</v>
      </c>
      <c r="L1194" s="45"/>
      <c r="M1194" s="45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46"/>
      <c r="BN1194" s="46"/>
      <c r="BO1194" s="46"/>
    </row>
    <row r="1195">
      <c r="A1195" s="16" t="str">
        <f t="shared" si="14"/>
        <v/>
      </c>
      <c r="B1195" s="16" t="str">
        <f t="shared" si="15"/>
        <v/>
      </c>
      <c r="C1195" s="35" t="str">
        <f t="shared" si="16"/>
        <v/>
      </c>
      <c r="D1195" s="35" t="str">
        <f t="shared" si="17"/>
        <v/>
      </c>
      <c r="E1195" s="35" t="str">
        <f t="shared" si="18"/>
        <v/>
      </c>
      <c r="F1195" s="35" t="str">
        <f t="shared" si="19"/>
        <v/>
      </c>
      <c r="G1195" s="35" t="str">
        <f t="shared" si="20"/>
        <v/>
      </c>
      <c r="H1195" s="49"/>
      <c r="I1195" s="47" t="str">
        <f t="shared" si="21"/>
        <v/>
      </c>
      <c r="J1195" s="50"/>
      <c r="K1195" s="45" t="b">
        <v>0</v>
      </c>
      <c r="L1195" s="45"/>
      <c r="M1195" s="45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  <c r="AI1195" s="26"/>
      <c r="AJ1195" s="26"/>
      <c r="AK1195" s="2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46"/>
      <c r="BN1195" s="46"/>
      <c r="BO1195" s="46"/>
    </row>
    <row r="1196">
      <c r="A1196" s="16" t="str">
        <f t="shared" si="14"/>
        <v/>
      </c>
      <c r="B1196" s="16" t="str">
        <f t="shared" si="15"/>
        <v/>
      </c>
      <c r="C1196" s="35" t="str">
        <f t="shared" si="16"/>
        <v/>
      </c>
      <c r="D1196" s="35" t="str">
        <f t="shared" si="17"/>
        <v/>
      </c>
      <c r="E1196" s="35" t="str">
        <f t="shared" si="18"/>
        <v/>
      </c>
      <c r="F1196" s="35" t="str">
        <f t="shared" si="19"/>
        <v/>
      </c>
      <c r="G1196" s="35" t="str">
        <f t="shared" si="20"/>
        <v/>
      </c>
      <c r="H1196" s="49"/>
      <c r="I1196" s="47" t="str">
        <f t="shared" si="21"/>
        <v/>
      </c>
      <c r="J1196" s="50"/>
      <c r="K1196" s="45" t="b">
        <v>0</v>
      </c>
      <c r="L1196" s="45"/>
      <c r="M1196" s="45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46"/>
      <c r="BN1196" s="46"/>
      <c r="BO1196" s="46"/>
    </row>
    <row r="1197">
      <c r="A1197" s="16" t="str">
        <f t="shared" si="14"/>
        <v/>
      </c>
      <c r="B1197" s="16" t="str">
        <f t="shared" si="15"/>
        <v/>
      </c>
      <c r="C1197" s="35" t="str">
        <f t="shared" si="16"/>
        <v/>
      </c>
      <c r="D1197" s="35" t="str">
        <f t="shared" si="17"/>
        <v/>
      </c>
      <c r="E1197" s="35" t="str">
        <f t="shared" si="18"/>
        <v/>
      </c>
      <c r="F1197" s="35" t="str">
        <f t="shared" si="19"/>
        <v/>
      </c>
      <c r="G1197" s="35" t="str">
        <f t="shared" si="20"/>
        <v/>
      </c>
      <c r="H1197" s="49"/>
      <c r="I1197" s="47" t="str">
        <f t="shared" si="21"/>
        <v/>
      </c>
      <c r="J1197" s="50"/>
      <c r="K1197" s="45" t="b">
        <v>0</v>
      </c>
      <c r="L1197" s="45"/>
      <c r="M1197" s="45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46"/>
      <c r="BN1197" s="46"/>
      <c r="BO1197" s="46"/>
    </row>
    <row r="1198">
      <c r="A1198" s="16" t="str">
        <f t="shared" si="14"/>
        <v/>
      </c>
      <c r="B1198" s="16" t="str">
        <f t="shared" si="15"/>
        <v/>
      </c>
      <c r="C1198" s="35" t="str">
        <f t="shared" si="16"/>
        <v/>
      </c>
      <c r="D1198" s="35" t="str">
        <f t="shared" si="17"/>
        <v/>
      </c>
      <c r="E1198" s="35" t="str">
        <f t="shared" si="18"/>
        <v/>
      </c>
      <c r="F1198" s="35" t="str">
        <f t="shared" si="19"/>
        <v/>
      </c>
      <c r="G1198" s="35" t="str">
        <f t="shared" si="20"/>
        <v/>
      </c>
      <c r="H1198" s="49"/>
      <c r="I1198" s="47" t="str">
        <f t="shared" si="21"/>
        <v/>
      </c>
      <c r="J1198" s="50"/>
      <c r="K1198" s="45" t="b">
        <v>0</v>
      </c>
      <c r="L1198" s="45"/>
      <c r="M1198" s="45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46"/>
      <c r="BN1198" s="46"/>
      <c r="BO1198" s="46"/>
    </row>
    <row r="1199">
      <c r="A1199" s="16" t="str">
        <f t="shared" si="14"/>
        <v/>
      </c>
      <c r="B1199" s="16" t="str">
        <f t="shared" si="15"/>
        <v/>
      </c>
      <c r="C1199" s="35" t="str">
        <f t="shared" si="16"/>
        <v/>
      </c>
      <c r="D1199" s="35" t="str">
        <f t="shared" si="17"/>
        <v/>
      </c>
      <c r="E1199" s="35" t="str">
        <f t="shared" si="18"/>
        <v/>
      </c>
      <c r="F1199" s="35" t="str">
        <f t="shared" si="19"/>
        <v/>
      </c>
      <c r="G1199" s="35" t="str">
        <f t="shared" si="20"/>
        <v/>
      </c>
      <c r="H1199" s="49"/>
      <c r="I1199" s="47" t="str">
        <f t="shared" si="21"/>
        <v/>
      </c>
      <c r="J1199" s="50"/>
      <c r="K1199" s="45" t="b">
        <v>0</v>
      </c>
      <c r="L1199" s="45"/>
      <c r="M1199" s="45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46"/>
      <c r="BN1199" s="46"/>
      <c r="BO1199" s="46"/>
    </row>
    <row r="1200">
      <c r="A1200" s="16" t="str">
        <f t="shared" si="14"/>
        <v/>
      </c>
      <c r="B1200" s="16" t="str">
        <f t="shared" si="15"/>
        <v/>
      </c>
      <c r="C1200" s="35" t="str">
        <f t="shared" si="16"/>
        <v/>
      </c>
      <c r="D1200" s="35" t="str">
        <f t="shared" si="17"/>
        <v/>
      </c>
      <c r="E1200" s="35" t="str">
        <f t="shared" si="18"/>
        <v/>
      </c>
      <c r="F1200" s="35" t="str">
        <f t="shared" si="19"/>
        <v/>
      </c>
      <c r="G1200" s="35" t="str">
        <f t="shared" si="20"/>
        <v/>
      </c>
      <c r="H1200" s="49"/>
      <c r="I1200" s="47" t="str">
        <f t="shared" si="21"/>
        <v/>
      </c>
      <c r="J1200" s="50"/>
      <c r="K1200" s="45" t="b">
        <v>0</v>
      </c>
      <c r="L1200" s="45"/>
      <c r="M1200" s="45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/>
    </row>
    <row r="1201">
      <c r="A1201" s="16" t="str">
        <f t="shared" si="14"/>
        <v/>
      </c>
      <c r="B1201" s="16" t="str">
        <f t="shared" si="15"/>
        <v/>
      </c>
      <c r="C1201" s="35" t="str">
        <f t="shared" si="16"/>
        <v/>
      </c>
      <c r="D1201" s="35" t="str">
        <f t="shared" si="17"/>
        <v/>
      </c>
      <c r="E1201" s="35" t="str">
        <f t="shared" si="18"/>
        <v/>
      </c>
      <c r="F1201" s="35" t="str">
        <f t="shared" si="19"/>
        <v/>
      </c>
      <c r="G1201" s="35" t="str">
        <f t="shared" si="20"/>
        <v/>
      </c>
      <c r="H1201" s="49"/>
      <c r="I1201" s="47" t="str">
        <f t="shared" si="21"/>
        <v/>
      </c>
      <c r="J1201" s="50"/>
      <c r="K1201" s="45" t="b">
        <v>0</v>
      </c>
      <c r="L1201" s="45"/>
      <c r="M1201" s="45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46"/>
      <c r="BN1201" s="46"/>
      <c r="BO1201" s="46"/>
    </row>
    <row r="1202">
      <c r="A1202" s="16" t="str">
        <f t="shared" si="14"/>
        <v/>
      </c>
      <c r="B1202" s="16" t="str">
        <f t="shared" si="15"/>
        <v/>
      </c>
      <c r="C1202" s="35" t="str">
        <f t="shared" si="16"/>
        <v/>
      </c>
      <c r="D1202" s="35" t="str">
        <f t="shared" si="17"/>
        <v/>
      </c>
      <c r="E1202" s="35" t="str">
        <f t="shared" si="18"/>
        <v/>
      </c>
      <c r="F1202" s="35" t="str">
        <f t="shared" si="19"/>
        <v/>
      </c>
      <c r="G1202" s="35" t="str">
        <f t="shared" si="20"/>
        <v/>
      </c>
      <c r="H1202" s="49"/>
      <c r="I1202" s="47" t="str">
        <f t="shared" si="21"/>
        <v/>
      </c>
      <c r="J1202" s="50"/>
      <c r="K1202" s="45" t="b">
        <v>0</v>
      </c>
      <c r="L1202" s="45"/>
      <c r="M1202" s="45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  <c r="AI1202" s="26"/>
      <c r="AJ1202" s="26"/>
      <c r="AK1202" s="2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46"/>
      <c r="BN1202" s="46"/>
      <c r="BO1202" s="46"/>
    </row>
    <row r="1203">
      <c r="A1203" s="16" t="str">
        <f t="shared" si="14"/>
        <v/>
      </c>
      <c r="B1203" s="16" t="str">
        <f t="shared" si="15"/>
        <v/>
      </c>
      <c r="C1203" s="35" t="str">
        <f t="shared" si="16"/>
        <v/>
      </c>
      <c r="D1203" s="35" t="str">
        <f t="shared" si="17"/>
        <v/>
      </c>
      <c r="E1203" s="35" t="str">
        <f t="shared" si="18"/>
        <v/>
      </c>
      <c r="F1203" s="35" t="str">
        <f t="shared" si="19"/>
        <v/>
      </c>
      <c r="G1203" s="35" t="str">
        <f t="shared" si="20"/>
        <v/>
      </c>
      <c r="H1203" s="49"/>
      <c r="I1203" s="47" t="str">
        <f t="shared" si="21"/>
        <v/>
      </c>
      <c r="J1203" s="50"/>
      <c r="K1203" s="45" t="b">
        <v>0</v>
      </c>
      <c r="L1203" s="45"/>
      <c r="M1203" s="45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46"/>
      <c r="BM1203" s="46"/>
      <c r="BN1203" s="46"/>
      <c r="BO1203" s="46"/>
    </row>
    <row r="1204">
      <c r="A1204" s="16" t="str">
        <f t="shared" si="14"/>
        <v/>
      </c>
      <c r="B1204" s="16" t="str">
        <f t="shared" si="15"/>
        <v/>
      </c>
      <c r="C1204" s="35" t="str">
        <f t="shared" si="16"/>
        <v/>
      </c>
      <c r="D1204" s="35" t="str">
        <f t="shared" si="17"/>
        <v/>
      </c>
      <c r="E1204" s="35" t="str">
        <f t="shared" si="18"/>
        <v/>
      </c>
      <c r="F1204" s="35" t="str">
        <f t="shared" si="19"/>
        <v/>
      </c>
      <c r="G1204" s="35" t="str">
        <f t="shared" si="20"/>
        <v/>
      </c>
      <c r="H1204" s="49"/>
      <c r="I1204" s="47" t="str">
        <f t="shared" si="21"/>
        <v/>
      </c>
      <c r="J1204" s="50"/>
      <c r="K1204" s="45" t="b">
        <v>0</v>
      </c>
      <c r="L1204" s="45"/>
      <c r="M1204" s="45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46"/>
      <c r="BN1204" s="46"/>
      <c r="BO1204" s="46"/>
    </row>
    <row r="1205">
      <c r="A1205" s="16" t="str">
        <f t="shared" si="14"/>
        <v/>
      </c>
      <c r="B1205" s="16" t="str">
        <f t="shared" si="15"/>
        <v/>
      </c>
      <c r="C1205" s="35" t="str">
        <f t="shared" si="16"/>
        <v/>
      </c>
      <c r="D1205" s="35" t="str">
        <f t="shared" si="17"/>
        <v/>
      </c>
      <c r="E1205" s="35" t="str">
        <f t="shared" si="18"/>
        <v/>
      </c>
      <c r="F1205" s="35" t="str">
        <f t="shared" si="19"/>
        <v/>
      </c>
      <c r="G1205" s="35" t="str">
        <f t="shared" si="20"/>
        <v/>
      </c>
      <c r="H1205" s="49"/>
      <c r="I1205" s="47" t="str">
        <f t="shared" si="21"/>
        <v/>
      </c>
      <c r="J1205" s="50"/>
      <c r="K1205" s="45" t="b">
        <v>0</v>
      </c>
      <c r="L1205" s="45"/>
      <c r="M1205" s="45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46"/>
      <c r="BN1205" s="46"/>
      <c r="BO1205" s="46"/>
    </row>
    <row r="1206">
      <c r="A1206" s="16" t="str">
        <f t="shared" si="14"/>
        <v/>
      </c>
      <c r="B1206" s="16" t="str">
        <f t="shared" si="15"/>
        <v/>
      </c>
      <c r="C1206" s="35" t="str">
        <f t="shared" si="16"/>
        <v/>
      </c>
      <c r="D1206" s="35" t="str">
        <f t="shared" si="17"/>
        <v/>
      </c>
      <c r="E1206" s="35" t="str">
        <f t="shared" si="18"/>
        <v/>
      </c>
      <c r="F1206" s="35" t="str">
        <f t="shared" si="19"/>
        <v/>
      </c>
      <c r="G1206" s="35" t="str">
        <f t="shared" si="20"/>
        <v/>
      </c>
      <c r="H1206" s="49"/>
      <c r="I1206" s="47" t="str">
        <f t="shared" si="21"/>
        <v/>
      </c>
      <c r="J1206" s="50"/>
      <c r="K1206" s="45" t="b">
        <v>0</v>
      </c>
      <c r="L1206" s="45"/>
      <c r="M1206" s="45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46"/>
      <c r="BM1206" s="46"/>
      <c r="BN1206" s="46"/>
      <c r="BO1206" s="46"/>
    </row>
    <row r="1207">
      <c r="A1207" s="16" t="str">
        <f t="shared" si="14"/>
        <v/>
      </c>
      <c r="B1207" s="16" t="str">
        <f t="shared" si="15"/>
        <v/>
      </c>
      <c r="C1207" s="35" t="str">
        <f t="shared" si="16"/>
        <v/>
      </c>
      <c r="D1207" s="35" t="str">
        <f t="shared" si="17"/>
        <v/>
      </c>
      <c r="E1207" s="35" t="str">
        <f t="shared" si="18"/>
        <v/>
      </c>
      <c r="F1207" s="35" t="str">
        <f t="shared" si="19"/>
        <v/>
      </c>
      <c r="G1207" s="35" t="str">
        <f t="shared" si="20"/>
        <v/>
      </c>
      <c r="H1207" s="49"/>
      <c r="I1207" s="47" t="str">
        <f t="shared" si="21"/>
        <v/>
      </c>
      <c r="J1207" s="50"/>
      <c r="K1207" s="45" t="b">
        <v>0</v>
      </c>
      <c r="L1207" s="45"/>
      <c r="M1207" s="45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46"/>
      <c r="BN1207" s="46"/>
      <c r="BO1207" s="46"/>
    </row>
    <row r="1208">
      <c r="A1208" s="16" t="str">
        <f t="shared" si="14"/>
        <v/>
      </c>
      <c r="B1208" s="16" t="str">
        <f t="shared" si="15"/>
        <v/>
      </c>
      <c r="C1208" s="35" t="str">
        <f t="shared" si="16"/>
        <v/>
      </c>
      <c r="D1208" s="35" t="str">
        <f t="shared" si="17"/>
        <v/>
      </c>
      <c r="E1208" s="35" t="str">
        <f t="shared" si="18"/>
        <v/>
      </c>
      <c r="F1208" s="35" t="str">
        <f t="shared" si="19"/>
        <v/>
      </c>
      <c r="G1208" s="35" t="str">
        <f t="shared" si="20"/>
        <v/>
      </c>
      <c r="H1208" s="49"/>
      <c r="I1208" s="47" t="str">
        <f t="shared" si="21"/>
        <v/>
      </c>
      <c r="J1208" s="50"/>
      <c r="K1208" s="45" t="b">
        <v>0</v>
      </c>
      <c r="L1208" s="45"/>
      <c r="M1208" s="45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46"/>
      <c r="BN1208" s="46"/>
      <c r="BO1208" s="46"/>
    </row>
    <row r="1209">
      <c r="A1209" s="16" t="str">
        <f t="shared" si="14"/>
        <v/>
      </c>
      <c r="B1209" s="16" t="str">
        <f t="shared" si="15"/>
        <v/>
      </c>
      <c r="C1209" s="35" t="str">
        <f t="shared" si="16"/>
        <v/>
      </c>
      <c r="D1209" s="35" t="str">
        <f t="shared" si="17"/>
        <v/>
      </c>
      <c r="E1209" s="35" t="str">
        <f t="shared" si="18"/>
        <v/>
      </c>
      <c r="F1209" s="35" t="str">
        <f t="shared" si="19"/>
        <v/>
      </c>
      <c r="G1209" s="35" t="str">
        <f t="shared" si="20"/>
        <v/>
      </c>
      <c r="H1209" s="49"/>
      <c r="I1209" s="47" t="str">
        <f t="shared" si="21"/>
        <v/>
      </c>
      <c r="J1209" s="50"/>
      <c r="K1209" s="45" t="b">
        <v>0</v>
      </c>
      <c r="L1209" s="45"/>
      <c r="M1209" s="45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46"/>
      <c r="BN1209" s="46"/>
      <c r="BO1209" s="46"/>
    </row>
    <row r="1210">
      <c r="A1210" s="16" t="str">
        <f t="shared" si="14"/>
        <v/>
      </c>
      <c r="B1210" s="16" t="str">
        <f t="shared" si="15"/>
        <v/>
      </c>
      <c r="C1210" s="35" t="str">
        <f t="shared" si="16"/>
        <v/>
      </c>
      <c r="D1210" s="35" t="str">
        <f t="shared" si="17"/>
        <v/>
      </c>
      <c r="E1210" s="35" t="str">
        <f t="shared" si="18"/>
        <v/>
      </c>
      <c r="F1210" s="35" t="str">
        <f t="shared" si="19"/>
        <v/>
      </c>
      <c r="G1210" s="35" t="str">
        <f t="shared" si="20"/>
        <v/>
      </c>
      <c r="H1210" s="49"/>
      <c r="I1210" s="47" t="str">
        <f t="shared" si="21"/>
        <v/>
      </c>
      <c r="J1210" s="50"/>
      <c r="K1210" s="45" t="b">
        <v>0</v>
      </c>
      <c r="L1210" s="45"/>
      <c r="M1210" s="45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46"/>
      <c r="BM1210" s="46"/>
      <c r="BN1210" s="46"/>
      <c r="BO1210" s="46"/>
    </row>
    <row r="1211">
      <c r="A1211" s="16" t="str">
        <f t="shared" si="14"/>
        <v/>
      </c>
      <c r="B1211" s="16" t="str">
        <f t="shared" si="15"/>
        <v/>
      </c>
      <c r="C1211" s="35" t="str">
        <f t="shared" si="16"/>
        <v/>
      </c>
      <c r="D1211" s="35" t="str">
        <f t="shared" si="17"/>
        <v/>
      </c>
      <c r="E1211" s="35" t="str">
        <f t="shared" si="18"/>
        <v/>
      </c>
      <c r="F1211" s="35" t="str">
        <f t="shared" si="19"/>
        <v/>
      </c>
      <c r="G1211" s="35" t="str">
        <f t="shared" si="20"/>
        <v/>
      </c>
      <c r="H1211" s="49"/>
      <c r="I1211" s="47" t="str">
        <f t="shared" si="21"/>
        <v/>
      </c>
      <c r="J1211" s="50"/>
      <c r="K1211" s="45" t="b">
        <v>0</v>
      </c>
      <c r="L1211" s="45"/>
      <c r="M1211" s="45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46"/>
      <c r="BM1211" s="46"/>
      <c r="BN1211" s="46"/>
      <c r="BO1211" s="46"/>
    </row>
    <row r="1212">
      <c r="A1212" s="16" t="str">
        <f t="shared" si="14"/>
        <v/>
      </c>
      <c r="B1212" s="16" t="str">
        <f t="shared" si="15"/>
        <v/>
      </c>
      <c r="C1212" s="35" t="str">
        <f t="shared" si="16"/>
        <v/>
      </c>
      <c r="D1212" s="35" t="str">
        <f t="shared" si="17"/>
        <v/>
      </c>
      <c r="E1212" s="35" t="str">
        <f t="shared" si="18"/>
        <v/>
      </c>
      <c r="F1212" s="35" t="str">
        <f t="shared" si="19"/>
        <v/>
      </c>
      <c r="G1212" s="35" t="str">
        <f t="shared" si="20"/>
        <v/>
      </c>
      <c r="H1212" s="49"/>
      <c r="I1212" s="47" t="str">
        <f t="shared" si="21"/>
        <v/>
      </c>
      <c r="J1212" s="50"/>
      <c r="K1212" s="45" t="b">
        <v>0</v>
      </c>
      <c r="L1212" s="45"/>
      <c r="M1212" s="45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46"/>
      <c r="BM1212" s="46"/>
      <c r="BN1212" s="46"/>
      <c r="BO1212" s="46"/>
    </row>
    <row r="1213">
      <c r="A1213" s="16" t="str">
        <f t="shared" si="14"/>
        <v/>
      </c>
      <c r="B1213" s="16" t="str">
        <f t="shared" si="15"/>
        <v/>
      </c>
      <c r="C1213" s="35" t="str">
        <f t="shared" si="16"/>
        <v/>
      </c>
      <c r="D1213" s="35" t="str">
        <f t="shared" si="17"/>
        <v/>
      </c>
      <c r="E1213" s="35" t="str">
        <f t="shared" si="18"/>
        <v/>
      </c>
      <c r="F1213" s="35" t="str">
        <f t="shared" si="19"/>
        <v/>
      </c>
      <c r="G1213" s="35" t="str">
        <f t="shared" si="20"/>
        <v/>
      </c>
      <c r="H1213" s="49"/>
      <c r="I1213" s="47" t="str">
        <f t="shared" si="21"/>
        <v/>
      </c>
      <c r="J1213" s="50"/>
      <c r="K1213" s="45" t="b">
        <v>0</v>
      </c>
      <c r="L1213" s="45"/>
      <c r="M1213" s="45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46"/>
      <c r="BM1213" s="46"/>
      <c r="BN1213" s="46"/>
      <c r="BO1213" s="46"/>
    </row>
    <row r="1214">
      <c r="A1214" s="16" t="str">
        <f t="shared" si="14"/>
        <v/>
      </c>
      <c r="B1214" s="16" t="str">
        <f t="shared" si="15"/>
        <v/>
      </c>
      <c r="C1214" s="35" t="str">
        <f t="shared" si="16"/>
        <v/>
      </c>
      <c r="D1214" s="35" t="str">
        <f t="shared" si="17"/>
        <v/>
      </c>
      <c r="E1214" s="35" t="str">
        <f t="shared" si="18"/>
        <v/>
      </c>
      <c r="F1214" s="35" t="str">
        <f t="shared" si="19"/>
        <v/>
      </c>
      <c r="G1214" s="35" t="str">
        <f t="shared" si="20"/>
        <v/>
      </c>
      <c r="H1214" s="49"/>
      <c r="I1214" s="47" t="str">
        <f t="shared" si="21"/>
        <v/>
      </c>
      <c r="J1214" s="50"/>
      <c r="K1214" s="45" t="b">
        <v>0</v>
      </c>
      <c r="L1214" s="45"/>
      <c r="M1214" s="45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</row>
    <row r="1215">
      <c r="A1215" s="16" t="str">
        <f t="shared" si="14"/>
        <v/>
      </c>
      <c r="B1215" s="16" t="str">
        <f t="shared" si="15"/>
        <v/>
      </c>
      <c r="C1215" s="35" t="str">
        <f t="shared" si="16"/>
        <v/>
      </c>
      <c r="D1215" s="35" t="str">
        <f t="shared" si="17"/>
        <v/>
      </c>
      <c r="E1215" s="35" t="str">
        <f t="shared" si="18"/>
        <v/>
      </c>
      <c r="F1215" s="35" t="str">
        <f t="shared" si="19"/>
        <v/>
      </c>
      <c r="G1215" s="35" t="str">
        <f t="shared" si="20"/>
        <v/>
      </c>
      <c r="H1215" s="49"/>
      <c r="I1215" s="47" t="str">
        <f t="shared" si="21"/>
        <v/>
      </c>
      <c r="J1215" s="50"/>
      <c r="K1215" s="45" t="b">
        <v>0</v>
      </c>
      <c r="L1215" s="45"/>
      <c r="M1215" s="45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</row>
    <row r="1216">
      <c r="A1216" s="16" t="str">
        <f t="shared" si="14"/>
        <v/>
      </c>
      <c r="B1216" s="16" t="str">
        <f t="shared" si="15"/>
        <v/>
      </c>
      <c r="C1216" s="35" t="str">
        <f t="shared" si="16"/>
        <v/>
      </c>
      <c r="D1216" s="35" t="str">
        <f t="shared" si="17"/>
        <v/>
      </c>
      <c r="E1216" s="35" t="str">
        <f t="shared" si="18"/>
        <v/>
      </c>
      <c r="F1216" s="35" t="str">
        <f t="shared" si="19"/>
        <v/>
      </c>
      <c r="G1216" s="35" t="str">
        <f t="shared" si="20"/>
        <v/>
      </c>
      <c r="H1216" s="49"/>
      <c r="I1216" s="47" t="str">
        <f t="shared" si="21"/>
        <v/>
      </c>
      <c r="J1216" s="50"/>
      <c r="K1216" s="45" t="b">
        <v>0</v>
      </c>
      <c r="L1216" s="45"/>
      <c r="M1216" s="45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</row>
    <row r="1217">
      <c r="A1217" s="16" t="str">
        <f t="shared" si="14"/>
        <v/>
      </c>
      <c r="B1217" s="16" t="str">
        <f t="shared" si="15"/>
        <v/>
      </c>
      <c r="C1217" s="35" t="str">
        <f t="shared" si="16"/>
        <v/>
      </c>
      <c r="D1217" s="35" t="str">
        <f t="shared" si="17"/>
        <v/>
      </c>
      <c r="E1217" s="35" t="str">
        <f t="shared" si="18"/>
        <v/>
      </c>
      <c r="F1217" s="35" t="str">
        <f t="shared" si="19"/>
        <v/>
      </c>
      <c r="G1217" s="35" t="str">
        <f t="shared" si="20"/>
        <v/>
      </c>
      <c r="H1217" s="49"/>
      <c r="I1217" s="47" t="str">
        <f t="shared" si="21"/>
        <v/>
      </c>
      <c r="J1217" s="50"/>
      <c r="K1217" s="45" t="b">
        <v>0</v>
      </c>
      <c r="L1217" s="45"/>
      <c r="M1217" s="45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46"/>
      <c r="BM1217" s="46"/>
      <c r="BN1217" s="46"/>
      <c r="BO1217" s="46"/>
    </row>
    <row r="1218">
      <c r="A1218" s="16" t="str">
        <f t="shared" si="14"/>
        <v/>
      </c>
      <c r="B1218" s="16" t="str">
        <f t="shared" si="15"/>
        <v/>
      </c>
      <c r="C1218" s="35" t="str">
        <f t="shared" si="16"/>
        <v/>
      </c>
      <c r="D1218" s="35" t="str">
        <f t="shared" si="17"/>
        <v/>
      </c>
      <c r="E1218" s="35" t="str">
        <f t="shared" si="18"/>
        <v/>
      </c>
      <c r="F1218" s="35" t="str">
        <f t="shared" si="19"/>
        <v/>
      </c>
      <c r="G1218" s="35" t="str">
        <f t="shared" si="20"/>
        <v/>
      </c>
      <c r="H1218" s="49"/>
      <c r="I1218" s="47" t="str">
        <f t="shared" si="21"/>
        <v/>
      </c>
      <c r="J1218" s="50"/>
      <c r="K1218" s="45" t="b">
        <v>0</v>
      </c>
      <c r="L1218" s="45"/>
      <c r="M1218" s="45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46"/>
      <c r="BN1218" s="46"/>
      <c r="BO1218" s="46"/>
    </row>
    <row r="1219">
      <c r="A1219" s="16" t="str">
        <f t="shared" si="14"/>
        <v/>
      </c>
      <c r="B1219" s="16" t="str">
        <f t="shared" si="15"/>
        <v/>
      </c>
      <c r="C1219" s="35" t="str">
        <f t="shared" si="16"/>
        <v/>
      </c>
      <c r="D1219" s="35" t="str">
        <f t="shared" si="17"/>
        <v/>
      </c>
      <c r="E1219" s="35" t="str">
        <f t="shared" si="18"/>
        <v/>
      </c>
      <c r="F1219" s="35" t="str">
        <f t="shared" si="19"/>
        <v/>
      </c>
      <c r="G1219" s="35" t="str">
        <f t="shared" si="20"/>
        <v/>
      </c>
      <c r="H1219" s="49"/>
      <c r="I1219" s="47" t="str">
        <f t="shared" si="21"/>
        <v/>
      </c>
      <c r="J1219" s="50"/>
      <c r="K1219" s="45" t="b">
        <v>0</v>
      </c>
      <c r="L1219" s="45"/>
      <c r="M1219" s="45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46"/>
      <c r="BN1219" s="46"/>
      <c r="BO1219" s="46"/>
    </row>
    <row r="1220">
      <c r="A1220" s="16" t="str">
        <f t="shared" si="14"/>
        <v/>
      </c>
      <c r="B1220" s="16" t="str">
        <f t="shared" si="15"/>
        <v/>
      </c>
      <c r="C1220" s="35" t="str">
        <f t="shared" si="16"/>
        <v/>
      </c>
      <c r="D1220" s="35" t="str">
        <f t="shared" si="17"/>
        <v/>
      </c>
      <c r="E1220" s="35" t="str">
        <f t="shared" si="18"/>
        <v/>
      </c>
      <c r="F1220" s="35" t="str">
        <f t="shared" si="19"/>
        <v/>
      </c>
      <c r="G1220" s="35" t="str">
        <f t="shared" si="20"/>
        <v/>
      </c>
      <c r="H1220" s="49"/>
      <c r="I1220" s="47" t="str">
        <f t="shared" si="21"/>
        <v/>
      </c>
      <c r="J1220" s="50"/>
      <c r="K1220" s="45" t="b">
        <v>0</v>
      </c>
      <c r="L1220" s="45"/>
      <c r="M1220" s="45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46"/>
      <c r="BN1220" s="46"/>
      <c r="BO1220" s="46"/>
    </row>
    <row r="1221">
      <c r="A1221" s="16" t="str">
        <f t="shared" si="14"/>
        <v/>
      </c>
      <c r="B1221" s="16" t="str">
        <f t="shared" si="15"/>
        <v/>
      </c>
      <c r="C1221" s="35" t="str">
        <f t="shared" si="16"/>
        <v/>
      </c>
      <c r="D1221" s="35" t="str">
        <f t="shared" si="17"/>
        <v/>
      </c>
      <c r="E1221" s="35" t="str">
        <f t="shared" si="18"/>
        <v/>
      </c>
      <c r="F1221" s="35" t="str">
        <f t="shared" si="19"/>
        <v/>
      </c>
      <c r="G1221" s="35" t="str">
        <f t="shared" si="20"/>
        <v/>
      </c>
      <c r="H1221" s="49"/>
      <c r="I1221" s="47" t="str">
        <f t="shared" si="21"/>
        <v/>
      </c>
      <c r="J1221" s="50"/>
      <c r="K1221" s="45" t="b">
        <v>0</v>
      </c>
      <c r="L1221" s="45"/>
      <c r="M1221" s="45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46"/>
      <c r="BN1221" s="46"/>
      <c r="BO1221" s="46"/>
    </row>
    <row r="1222">
      <c r="A1222" s="16" t="str">
        <f t="shared" si="14"/>
        <v/>
      </c>
      <c r="B1222" s="16" t="str">
        <f t="shared" si="15"/>
        <v/>
      </c>
      <c r="C1222" s="35" t="str">
        <f t="shared" si="16"/>
        <v/>
      </c>
      <c r="D1222" s="35" t="str">
        <f t="shared" si="17"/>
        <v/>
      </c>
      <c r="E1222" s="35" t="str">
        <f t="shared" si="18"/>
        <v/>
      </c>
      <c r="F1222" s="35" t="str">
        <f t="shared" si="19"/>
        <v/>
      </c>
      <c r="G1222" s="35" t="str">
        <f t="shared" si="20"/>
        <v/>
      </c>
      <c r="H1222" s="49"/>
      <c r="I1222" s="47" t="str">
        <f t="shared" si="21"/>
        <v/>
      </c>
      <c r="J1222" s="50"/>
      <c r="K1222" s="45" t="b">
        <v>0</v>
      </c>
      <c r="L1222" s="45"/>
      <c r="M1222" s="45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/>
    </row>
    <row r="1223">
      <c r="A1223" s="16" t="str">
        <f t="shared" si="14"/>
        <v/>
      </c>
      <c r="B1223" s="16" t="str">
        <f t="shared" si="15"/>
        <v/>
      </c>
      <c r="C1223" s="35" t="str">
        <f t="shared" si="16"/>
        <v/>
      </c>
      <c r="D1223" s="35" t="str">
        <f t="shared" si="17"/>
        <v/>
      </c>
      <c r="E1223" s="35" t="str">
        <f t="shared" si="18"/>
        <v/>
      </c>
      <c r="F1223" s="35" t="str">
        <f t="shared" si="19"/>
        <v/>
      </c>
      <c r="G1223" s="35" t="str">
        <f t="shared" si="20"/>
        <v/>
      </c>
      <c r="H1223" s="49"/>
      <c r="I1223" s="47" t="str">
        <f t="shared" si="21"/>
        <v/>
      </c>
      <c r="J1223" s="50"/>
      <c r="K1223" s="45" t="b">
        <v>0</v>
      </c>
      <c r="L1223" s="45"/>
      <c r="M1223" s="45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46"/>
      <c r="BM1223" s="46"/>
      <c r="BN1223" s="46"/>
      <c r="BO1223" s="46"/>
    </row>
    <row r="1224">
      <c r="A1224" s="16" t="str">
        <f t="shared" si="14"/>
        <v/>
      </c>
      <c r="B1224" s="16" t="str">
        <f t="shared" si="15"/>
        <v/>
      </c>
      <c r="C1224" s="35" t="str">
        <f t="shared" si="16"/>
        <v/>
      </c>
      <c r="D1224" s="35" t="str">
        <f t="shared" si="17"/>
        <v/>
      </c>
      <c r="E1224" s="35" t="str">
        <f t="shared" si="18"/>
        <v/>
      </c>
      <c r="F1224" s="35" t="str">
        <f t="shared" si="19"/>
        <v/>
      </c>
      <c r="G1224" s="35" t="str">
        <f t="shared" si="20"/>
        <v/>
      </c>
      <c r="H1224" s="49"/>
      <c r="I1224" s="47" t="str">
        <f t="shared" si="21"/>
        <v/>
      </c>
      <c r="J1224" s="50"/>
      <c r="K1224" s="45" t="b">
        <v>0</v>
      </c>
      <c r="L1224" s="45"/>
      <c r="M1224" s="45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46"/>
      <c r="BM1224" s="46"/>
      <c r="BN1224" s="46"/>
      <c r="BO1224" s="46"/>
    </row>
    <row r="1225">
      <c r="A1225" s="16" t="str">
        <f t="shared" si="14"/>
        <v/>
      </c>
      <c r="B1225" s="16" t="str">
        <f t="shared" si="15"/>
        <v/>
      </c>
      <c r="C1225" s="35" t="str">
        <f t="shared" si="16"/>
        <v/>
      </c>
      <c r="D1225" s="35" t="str">
        <f t="shared" si="17"/>
        <v/>
      </c>
      <c r="E1225" s="35" t="str">
        <f t="shared" si="18"/>
        <v/>
      </c>
      <c r="F1225" s="35" t="str">
        <f t="shared" si="19"/>
        <v/>
      </c>
      <c r="G1225" s="35" t="str">
        <f t="shared" si="20"/>
        <v/>
      </c>
      <c r="H1225" s="49"/>
      <c r="I1225" s="47" t="str">
        <f t="shared" si="21"/>
        <v/>
      </c>
      <c r="J1225" s="50"/>
      <c r="K1225" s="45" t="b">
        <v>0</v>
      </c>
      <c r="L1225" s="45"/>
      <c r="M1225" s="45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46"/>
      <c r="BM1225" s="46"/>
      <c r="BN1225" s="46"/>
      <c r="BO1225" s="46"/>
    </row>
    <row r="1226">
      <c r="A1226" s="16" t="str">
        <f t="shared" si="14"/>
        <v/>
      </c>
      <c r="B1226" s="16" t="str">
        <f t="shared" si="15"/>
        <v/>
      </c>
      <c r="C1226" s="35" t="str">
        <f t="shared" si="16"/>
        <v/>
      </c>
      <c r="D1226" s="35" t="str">
        <f t="shared" si="17"/>
        <v/>
      </c>
      <c r="E1226" s="35" t="str">
        <f t="shared" si="18"/>
        <v/>
      </c>
      <c r="F1226" s="35" t="str">
        <f t="shared" si="19"/>
        <v/>
      </c>
      <c r="G1226" s="35" t="str">
        <f t="shared" si="20"/>
        <v/>
      </c>
      <c r="H1226" s="49"/>
      <c r="I1226" s="47" t="str">
        <f t="shared" si="21"/>
        <v/>
      </c>
      <c r="J1226" s="50"/>
      <c r="K1226" s="45" t="b">
        <v>0</v>
      </c>
      <c r="L1226" s="45"/>
      <c r="M1226" s="45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  <c r="BI1226" s="46"/>
      <c r="BJ1226" s="46"/>
      <c r="BK1226" s="46"/>
      <c r="BL1226" s="46"/>
      <c r="BM1226" s="46"/>
      <c r="BN1226" s="46"/>
      <c r="BO1226" s="46"/>
    </row>
    <row r="1227">
      <c r="A1227" s="16" t="str">
        <f t="shared" si="14"/>
        <v/>
      </c>
      <c r="B1227" s="16" t="str">
        <f t="shared" si="15"/>
        <v/>
      </c>
      <c r="C1227" s="35" t="str">
        <f t="shared" si="16"/>
        <v/>
      </c>
      <c r="D1227" s="35" t="str">
        <f t="shared" si="17"/>
        <v/>
      </c>
      <c r="E1227" s="35" t="str">
        <f t="shared" si="18"/>
        <v/>
      </c>
      <c r="F1227" s="35" t="str">
        <f t="shared" si="19"/>
        <v/>
      </c>
      <c r="G1227" s="35" t="str">
        <f t="shared" si="20"/>
        <v/>
      </c>
      <c r="H1227" s="49"/>
      <c r="I1227" s="47" t="str">
        <f t="shared" si="21"/>
        <v/>
      </c>
      <c r="J1227" s="50"/>
      <c r="K1227" s="45" t="b">
        <v>0</v>
      </c>
      <c r="L1227" s="45"/>
      <c r="M1227" s="45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46"/>
      <c r="BM1227" s="46"/>
      <c r="BN1227" s="46"/>
      <c r="BO1227" s="46"/>
    </row>
    <row r="1228">
      <c r="A1228" s="16" t="str">
        <f t="shared" si="14"/>
        <v/>
      </c>
      <c r="B1228" s="16" t="str">
        <f t="shared" si="15"/>
        <v/>
      </c>
      <c r="C1228" s="35" t="str">
        <f t="shared" si="16"/>
        <v/>
      </c>
      <c r="D1228" s="35" t="str">
        <f t="shared" si="17"/>
        <v/>
      </c>
      <c r="E1228" s="35" t="str">
        <f t="shared" si="18"/>
        <v/>
      </c>
      <c r="F1228" s="35" t="str">
        <f t="shared" si="19"/>
        <v/>
      </c>
      <c r="G1228" s="35" t="str">
        <f t="shared" si="20"/>
        <v/>
      </c>
      <c r="H1228" s="49"/>
      <c r="I1228" s="47" t="str">
        <f t="shared" si="21"/>
        <v/>
      </c>
      <c r="J1228" s="50"/>
      <c r="K1228" s="45" t="b">
        <v>0</v>
      </c>
      <c r="L1228" s="45"/>
      <c r="M1228" s="45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46"/>
      <c r="BM1228" s="46"/>
      <c r="BN1228" s="46"/>
      <c r="BO1228" s="46"/>
    </row>
    <row r="1229">
      <c r="A1229" s="16" t="str">
        <f t="shared" si="14"/>
        <v/>
      </c>
      <c r="B1229" s="16" t="str">
        <f t="shared" si="15"/>
        <v/>
      </c>
      <c r="C1229" s="35" t="str">
        <f t="shared" si="16"/>
        <v/>
      </c>
      <c r="D1229" s="35" t="str">
        <f t="shared" si="17"/>
        <v/>
      </c>
      <c r="E1229" s="35" t="str">
        <f t="shared" si="18"/>
        <v/>
      </c>
      <c r="F1229" s="35" t="str">
        <f t="shared" si="19"/>
        <v/>
      </c>
      <c r="G1229" s="35" t="str">
        <f t="shared" si="20"/>
        <v/>
      </c>
      <c r="H1229" s="49"/>
      <c r="I1229" s="47" t="str">
        <f t="shared" si="21"/>
        <v/>
      </c>
      <c r="J1229" s="50"/>
      <c r="K1229" s="45" t="b">
        <v>0</v>
      </c>
      <c r="L1229" s="45"/>
      <c r="M1229" s="45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46"/>
      <c r="BM1229" s="46"/>
      <c r="BN1229" s="46"/>
      <c r="BO1229" s="46"/>
    </row>
    <row r="1230">
      <c r="A1230" s="16" t="str">
        <f t="shared" si="14"/>
        <v/>
      </c>
      <c r="B1230" s="16" t="str">
        <f t="shared" si="15"/>
        <v/>
      </c>
      <c r="C1230" s="35" t="str">
        <f t="shared" si="16"/>
        <v/>
      </c>
      <c r="D1230" s="35" t="str">
        <f t="shared" si="17"/>
        <v/>
      </c>
      <c r="E1230" s="35" t="str">
        <f t="shared" si="18"/>
        <v/>
      </c>
      <c r="F1230" s="35" t="str">
        <f t="shared" si="19"/>
        <v/>
      </c>
      <c r="G1230" s="35" t="str">
        <f t="shared" si="20"/>
        <v/>
      </c>
      <c r="H1230" s="49"/>
      <c r="I1230" s="47" t="str">
        <f t="shared" si="21"/>
        <v/>
      </c>
      <c r="J1230" s="50"/>
      <c r="K1230" s="45" t="b">
        <v>0</v>
      </c>
      <c r="L1230" s="45"/>
      <c r="M1230" s="45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46"/>
      <c r="BM1230" s="46"/>
      <c r="BN1230" s="46"/>
      <c r="BO1230" s="46"/>
    </row>
    <row r="1231">
      <c r="A1231" s="16" t="str">
        <f t="shared" si="14"/>
        <v/>
      </c>
      <c r="B1231" s="16" t="str">
        <f t="shared" si="15"/>
        <v/>
      </c>
      <c r="C1231" s="35" t="str">
        <f t="shared" si="16"/>
        <v/>
      </c>
      <c r="D1231" s="35" t="str">
        <f t="shared" si="17"/>
        <v/>
      </c>
      <c r="E1231" s="35" t="str">
        <f t="shared" si="18"/>
        <v/>
      </c>
      <c r="F1231" s="35" t="str">
        <f t="shared" si="19"/>
        <v/>
      </c>
      <c r="G1231" s="35" t="str">
        <f t="shared" si="20"/>
        <v/>
      </c>
      <c r="H1231" s="49"/>
      <c r="I1231" s="47" t="str">
        <f t="shared" si="21"/>
        <v/>
      </c>
      <c r="J1231" s="50"/>
      <c r="K1231" s="45" t="b">
        <v>0</v>
      </c>
      <c r="L1231" s="45"/>
      <c r="M1231" s="45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46"/>
      <c r="BM1231" s="46"/>
      <c r="BN1231" s="46"/>
      <c r="BO1231" s="46"/>
    </row>
    <row r="1232">
      <c r="A1232" s="16" t="str">
        <f t="shared" si="14"/>
        <v/>
      </c>
      <c r="B1232" s="16" t="str">
        <f t="shared" si="15"/>
        <v/>
      </c>
      <c r="C1232" s="35" t="str">
        <f t="shared" si="16"/>
        <v/>
      </c>
      <c r="D1232" s="35" t="str">
        <f t="shared" si="17"/>
        <v/>
      </c>
      <c r="E1232" s="35" t="str">
        <f t="shared" si="18"/>
        <v/>
      </c>
      <c r="F1232" s="35" t="str">
        <f t="shared" si="19"/>
        <v/>
      </c>
      <c r="G1232" s="35" t="str">
        <f t="shared" si="20"/>
        <v/>
      </c>
      <c r="H1232" s="49"/>
      <c r="I1232" s="47" t="str">
        <f t="shared" si="21"/>
        <v/>
      </c>
      <c r="J1232" s="50"/>
      <c r="K1232" s="45" t="b">
        <v>0</v>
      </c>
      <c r="L1232" s="45"/>
      <c r="M1232" s="45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46"/>
      <c r="BM1232" s="46"/>
      <c r="BN1232" s="46"/>
      <c r="BO1232" s="46"/>
    </row>
    <row r="1233">
      <c r="A1233" s="16" t="str">
        <f t="shared" si="14"/>
        <v/>
      </c>
      <c r="B1233" s="16" t="str">
        <f t="shared" si="15"/>
        <v/>
      </c>
      <c r="C1233" s="35" t="str">
        <f t="shared" si="16"/>
        <v/>
      </c>
      <c r="D1233" s="35" t="str">
        <f t="shared" si="17"/>
        <v/>
      </c>
      <c r="E1233" s="35" t="str">
        <f t="shared" si="18"/>
        <v/>
      </c>
      <c r="F1233" s="35" t="str">
        <f t="shared" si="19"/>
        <v/>
      </c>
      <c r="G1233" s="35" t="str">
        <f t="shared" si="20"/>
        <v/>
      </c>
      <c r="H1233" s="49"/>
      <c r="I1233" s="47" t="str">
        <f t="shared" si="21"/>
        <v/>
      </c>
      <c r="J1233" s="50"/>
      <c r="K1233" s="45" t="b">
        <v>0</v>
      </c>
      <c r="L1233" s="45"/>
      <c r="M1233" s="45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46"/>
      <c r="BM1233" s="46"/>
      <c r="BN1233" s="46"/>
      <c r="BO1233" s="46"/>
    </row>
    <row r="1234">
      <c r="A1234" s="16" t="str">
        <f t="shared" si="14"/>
        <v/>
      </c>
      <c r="B1234" s="16" t="str">
        <f t="shared" si="15"/>
        <v/>
      </c>
      <c r="C1234" s="35" t="str">
        <f t="shared" si="16"/>
        <v/>
      </c>
      <c r="D1234" s="35" t="str">
        <f t="shared" si="17"/>
        <v/>
      </c>
      <c r="E1234" s="35" t="str">
        <f t="shared" si="18"/>
        <v/>
      </c>
      <c r="F1234" s="35" t="str">
        <f t="shared" si="19"/>
        <v/>
      </c>
      <c r="G1234" s="35" t="str">
        <f t="shared" si="20"/>
        <v/>
      </c>
      <c r="H1234" s="49"/>
      <c r="I1234" s="47" t="str">
        <f t="shared" si="21"/>
        <v/>
      </c>
      <c r="J1234" s="50"/>
      <c r="K1234" s="45" t="b">
        <v>0</v>
      </c>
      <c r="L1234" s="45"/>
      <c r="M1234" s="45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46"/>
      <c r="BM1234" s="46"/>
      <c r="BN1234" s="46"/>
      <c r="BO1234" s="46"/>
    </row>
    <row r="1235">
      <c r="A1235" s="16" t="str">
        <f t="shared" si="14"/>
        <v/>
      </c>
      <c r="B1235" s="16" t="str">
        <f t="shared" si="15"/>
        <v/>
      </c>
      <c r="C1235" s="35" t="str">
        <f t="shared" si="16"/>
        <v/>
      </c>
      <c r="D1235" s="35" t="str">
        <f t="shared" si="17"/>
        <v/>
      </c>
      <c r="E1235" s="35" t="str">
        <f t="shared" si="18"/>
        <v/>
      </c>
      <c r="F1235" s="35" t="str">
        <f t="shared" si="19"/>
        <v/>
      </c>
      <c r="G1235" s="35" t="str">
        <f t="shared" si="20"/>
        <v/>
      </c>
      <c r="H1235" s="49"/>
      <c r="I1235" s="47" t="str">
        <f t="shared" si="21"/>
        <v/>
      </c>
      <c r="J1235" s="50"/>
      <c r="K1235" s="45" t="b">
        <v>0</v>
      </c>
      <c r="L1235" s="45"/>
      <c r="M1235" s="45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46"/>
      <c r="BM1235" s="46"/>
      <c r="BN1235" s="46"/>
      <c r="BO1235" s="46"/>
    </row>
    <row r="1236">
      <c r="A1236" s="16" t="str">
        <f t="shared" si="14"/>
        <v/>
      </c>
      <c r="B1236" s="16" t="str">
        <f t="shared" si="15"/>
        <v/>
      </c>
      <c r="C1236" s="35" t="str">
        <f t="shared" si="16"/>
        <v/>
      </c>
      <c r="D1236" s="35" t="str">
        <f t="shared" si="17"/>
        <v/>
      </c>
      <c r="E1236" s="35" t="str">
        <f t="shared" si="18"/>
        <v/>
      </c>
      <c r="F1236" s="35" t="str">
        <f t="shared" si="19"/>
        <v/>
      </c>
      <c r="G1236" s="35" t="str">
        <f t="shared" si="20"/>
        <v/>
      </c>
      <c r="H1236" s="49"/>
      <c r="I1236" s="47" t="str">
        <f t="shared" si="21"/>
        <v/>
      </c>
      <c r="J1236" s="50"/>
      <c r="K1236" s="45" t="b">
        <v>0</v>
      </c>
      <c r="L1236" s="45"/>
      <c r="M1236" s="45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46"/>
      <c r="BM1236" s="46"/>
      <c r="BN1236" s="46"/>
      <c r="BO1236" s="46"/>
    </row>
    <row r="1237">
      <c r="A1237" s="16" t="str">
        <f t="shared" si="14"/>
        <v/>
      </c>
      <c r="B1237" s="16" t="str">
        <f t="shared" si="15"/>
        <v/>
      </c>
      <c r="C1237" s="35" t="str">
        <f t="shared" si="16"/>
        <v/>
      </c>
      <c r="D1237" s="35" t="str">
        <f t="shared" si="17"/>
        <v/>
      </c>
      <c r="E1237" s="35" t="str">
        <f t="shared" si="18"/>
        <v/>
      </c>
      <c r="F1237" s="35" t="str">
        <f t="shared" si="19"/>
        <v/>
      </c>
      <c r="G1237" s="35" t="str">
        <f t="shared" si="20"/>
        <v/>
      </c>
      <c r="H1237" s="49"/>
      <c r="I1237" s="47" t="str">
        <f t="shared" si="21"/>
        <v/>
      </c>
      <c r="J1237" s="50"/>
      <c r="K1237" s="45" t="b">
        <v>0</v>
      </c>
      <c r="L1237" s="45"/>
      <c r="M1237" s="45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46"/>
      <c r="BM1237" s="46"/>
      <c r="BN1237" s="46"/>
      <c r="BO1237" s="46"/>
    </row>
    <row r="1238">
      <c r="A1238" s="16" t="str">
        <f t="shared" si="14"/>
        <v/>
      </c>
      <c r="B1238" s="16" t="str">
        <f t="shared" si="15"/>
        <v/>
      </c>
      <c r="C1238" s="35" t="str">
        <f t="shared" si="16"/>
        <v/>
      </c>
      <c r="D1238" s="35" t="str">
        <f t="shared" si="17"/>
        <v/>
      </c>
      <c r="E1238" s="35" t="str">
        <f t="shared" si="18"/>
        <v/>
      </c>
      <c r="F1238" s="35" t="str">
        <f t="shared" si="19"/>
        <v/>
      </c>
      <c r="G1238" s="35" t="str">
        <f t="shared" si="20"/>
        <v/>
      </c>
      <c r="H1238" s="49"/>
      <c r="I1238" s="47" t="str">
        <f t="shared" si="21"/>
        <v/>
      </c>
      <c r="J1238" s="50"/>
      <c r="K1238" s="45" t="b">
        <v>0</v>
      </c>
      <c r="L1238" s="45"/>
      <c r="M1238" s="45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/>
    </row>
    <row r="1239">
      <c r="A1239" s="16" t="str">
        <f t="shared" si="14"/>
        <v/>
      </c>
      <c r="B1239" s="16" t="str">
        <f t="shared" si="15"/>
        <v/>
      </c>
      <c r="C1239" s="35" t="str">
        <f t="shared" si="16"/>
        <v/>
      </c>
      <c r="D1239" s="35" t="str">
        <f t="shared" si="17"/>
        <v/>
      </c>
      <c r="E1239" s="35" t="str">
        <f t="shared" si="18"/>
        <v/>
      </c>
      <c r="F1239" s="35" t="str">
        <f t="shared" si="19"/>
        <v/>
      </c>
      <c r="G1239" s="35" t="str">
        <f t="shared" si="20"/>
        <v/>
      </c>
      <c r="H1239" s="49"/>
      <c r="I1239" s="47" t="str">
        <f t="shared" si="21"/>
        <v/>
      </c>
      <c r="J1239" s="50"/>
      <c r="K1239" s="45" t="b">
        <v>0</v>
      </c>
      <c r="L1239" s="45"/>
      <c r="M1239" s="45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46"/>
      <c r="BM1239" s="46"/>
      <c r="BN1239" s="46"/>
      <c r="BO1239" s="46"/>
    </row>
    <row r="1240">
      <c r="A1240" s="16" t="str">
        <f t="shared" si="14"/>
        <v/>
      </c>
      <c r="B1240" s="16" t="str">
        <f t="shared" si="15"/>
        <v/>
      </c>
      <c r="C1240" s="35" t="str">
        <f t="shared" si="16"/>
        <v/>
      </c>
      <c r="D1240" s="35" t="str">
        <f t="shared" si="17"/>
        <v/>
      </c>
      <c r="E1240" s="35" t="str">
        <f t="shared" si="18"/>
        <v/>
      </c>
      <c r="F1240" s="35" t="str">
        <f t="shared" si="19"/>
        <v/>
      </c>
      <c r="G1240" s="35" t="str">
        <f t="shared" si="20"/>
        <v/>
      </c>
      <c r="H1240" s="49"/>
      <c r="I1240" s="47" t="str">
        <f t="shared" si="21"/>
        <v/>
      </c>
      <c r="J1240" s="50"/>
      <c r="K1240" s="45" t="b">
        <v>0</v>
      </c>
      <c r="L1240" s="45"/>
      <c r="M1240" s="45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46"/>
      <c r="BM1240" s="46"/>
      <c r="BN1240" s="46"/>
      <c r="BO1240" s="46"/>
    </row>
    <row r="1241">
      <c r="A1241" s="16" t="str">
        <f t="shared" si="14"/>
        <v/>
      </c>
      <c r="B1241" s="16" t="str">
        <f t="shared" si="15"/>
        <v/>
      </c>
      <c r="C1241" s="35" t="str">
        <f t="shared" si="16"/>
        <v/>
      </c>
      <c r="D1241" s="35" t="str">
        <f t="shared" si="17"/>
        <v/>
      </c>
      <c r="E1241" s="35" t="str">
        <f t="shared" si="18"/>
        <v/>
      </c>
      <c r="F1241" s="35" t="str">
        <f t="shared" si="19"/>
        <v/>
      </c>
      <c r="G1241" s="35" t="str">
        <f t="shared" si="20"/>
        <v/>
      </c>
      <c r="H1241" s="49"/>
      <c r="I1241" s="47" t="str">
        <f t="shared" si="21"/>
        <v/>
      </c>
      <c r="J1241" s="50"/>
      <c r="K1241" s="45" t="b">
        <v>0</v>
      </c>
      <c r="L1241" s="45"/>
      <c r="M1241" s="45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46"/>
      <c r="BM1241" s="46"/>
      <c r="BN1241" s="46"/>
      <c r="BO1241" s="46"/>
    </row>
    <row r="1242">
      <c r="A1242" s="16" t="str">
        <f t="shared" si="14"/>
        <v/>
      </c>
      <c r="B1242" s="16" t="str">
        <f t="shared" si="15"/>
        <v/>
      </c>
      <c r="C1242" s="35" t="str">
        <f t="shared" si="16"/>
        <v/>
      </c>
      <c r="D1242" s="35" t="str">
        <f t="shared" si="17"/>
        <v/>
      </c>
      <c r="E1242" s="35" t="str">
        <f t="shared" si="18"/>
        <v/>
      </c>
      <c r="F1242" s="35" t="str">
        <f t="shared" si="19"/>
        <v/>
      </c>
      <c r="G1242" s="35" t="str">
        <f t="shared" si="20"/>
        <v/>
      </c>
      <c r="H1242" s="49"/>
      <c r="I1242" s="47" t="str">
        <f t="shared" si="21"/>
        <v/>
      </c>
      <c r="J1242" s="50"/>
      <c r="K1242" s="45" t="b">
        <v>0</v>
      </c>
      <c r="L1242" s="45"/>
      <c r="M1242" s="45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  <c r="AG1242" s="26"/>
      <c r="AH1242" s="26"/>
      <c r="AI1242" s="26"/>
      <c r="AJ1242" s="26"/>
      <c r="AK1242" s="2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46"/>
      <c r="BM1242" s="46"/>
      <c r="BN1242" s="46"/>
      <c r="BO1242" s="46"/>
    </row>
    <row r="1243">
      <c r="A1243" s="16" t="str">
        <f t="shared" si="14"/>
        <v/>
      </c>
      <c r="B1243" s="16" t="str">
        <f t="shared" si="15"/>
        <v/>
      </c>
      <c r="C1243" s="35" t="str">
        <f t="shared" si="16"/>
        <v/>
      </c>
      <c r="D1243" s="35" t="str">
        <f t="shared" si="17"/>
        <v/>
      </c>
      <c r="E1243" s="35" t="str">
        <f t="shared" si="18"/>
        <v/>
      </c>
      <c r="F1243" s="35" t="str">
        <f t="shared" si="19"/>
        <v/>
      </c>
      <c r="G1243" s="35" t="str">
        <f t="shared" si="20"/>
        <v/>
      </c>
      <c r="H1243" s="49"/>
      <c r="I1243" s="47" t="str">
        <f t="shared" si="21"/>
        <v/>
      </c>
      <c r="J1243" s="50"/>
      <c r="K1243" s="45" t="b">
        <v>0</v>
      </c>
      <c r="L1243" s="45"/>
      <c r="M1243" s="45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46"/>
      <c r="BM1243" s="46"/>
      <c r="BN1243" s="46"/>
      <c r="BO1243" s="46"/>
    </row>
    <row r="1244">
      <c r="A1244" s="16" t="str">
        <f t="shared" si="14"/>
        <v/>
      </c>
      <c r="B1244" s="16" t="str">
        <f t="shared" si="15"/>
        <v/>
      </c>
      <c r="C1244" s="35" t="str">
        <f t="shared" si="16"/>
        <v/>
      </c>
      <c r="D1244" s="35" t="str">
        <f t="shared" si="17"/>
        <v/>
      </c>
      <c r="E1244" s="35" t="str">
        <f t="shared" si="18"/>
        <v/>
      </c>
      <c r="F1244" s="35" t="str">
        <f t="shared" si="19"/>
        <v/>
      </c>
      <c r="G1244" s="35" t="str">
        <f t="shared" si="20"/>
        <v/>
      </c>
      <c r="H1244" s="49"/>
      <c r="I1244" s="47" t="str">
        <f t="shared" si="21"/>
        <v/>
      </c>
      <c r="J1244" s="50"/>
      <c r="K1244" s="45" t="b">
        <v>0</v>
      </c>
      <c r="L1244" s="45"/>
      <c r="M1244" s="45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6"/>
      <c r="AF1244" s="26"/>
      <c r="AG1244" s="26"/>
      <c r="AH1244" s="26"/>
      <c r="AI1244" s="26"/>
      <c r="AJ1244" s="26"/>
      <c r="AK1244" s="2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46"/>
      <c r="BM1244" s="46"/>
      <c r="BN1244" s="46"/>
      <c r="BO1244" s="46"/>
    </row>
    <row r="1245">
      <c r="A1245" s="16" t="str">
        <f t="shared" si="14"/>
        <v/>
      </c>
      <c r="B1245" s="16" t="str">
        <f t="shared" si="15"/>
        <v/>
      </c>
      <c r="C1245" s="35" t="str">
        <f t="shared" si="16"/>
        <v/>
      </c>
      <c r="D1245" s="35" t="str">
        <f t="shared" si="17"/>
        <v/>
      </c>
      <c r="E1245" s="35" t="str">
        <f t="shared" si="18"/>
        <v/>
      </c>
      <c r="F1245" s="35" t="str">
        <f t="shared" si="19"/>
        <v/>
      </c>
      <c r="G1245" s="35" t="str">
        <f t="shared" si="20"/>
        <v/>
      </c>
      <c r="H1245" s="49"/>
      <c r="I1245" s="47" t="str">
        <f t="shared" si="21"/>
        <v/>
      </c>
      <c r="J1245" s="50"/>
      <c r="K1245" s="45" t="b">
        <v>0</v>
      </c>
      <c r="L1245" s="45"/>
      <c r="M1245" s="45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6"/>
      <c r="AF1245" s="26"/>
      <c r="AG1245" s="26"/>
      <c r="AH1245" s="26"/>
      <c r="AI1245" s="26"/>
      <c r="AJ1245" s="26"/>
      <c r="AK1245" s="2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46"/>
      <c r="BM1245" s="46"/>
      <c r="BN1245" s="46"/>
      <c r="BO1245" s="46"/>
    </row>
    <row r="1246">
      <c r="A1246" s="16" t="str">
        <f t="shared" si="14"/>
        <v/>
      </c>
      <c r="B1246" s="16" t="str">
        <f t="shared" si="15"/>
        <v/>
      </c>
      <c r="C1246" s="35" t="str">
        <f t="shared" si="16"/>
        <v/>
      </c>
      <c r="D1246" s="35" t="str">
        <f t="shared" si="17"/>
        <v/>
      </c>
      <c r="E1246" s="35" t="str">
        <f t="shared" si="18"/>
        <v/>
      </c>
      <c r="F1246" s="35" t="str">
        <f t="shared" si="19"/>
        <v/>
      </c>
      <c r="G1246" s="35" t="str">
        <f t="shared" si="20"/>
        <v/>
      </c>
      <c r="H1246" s="49"/>
      <c r="I1246" s="47" t="str">
        <f t="shared" si="21"/>
        <v/>
      </c>
      <c r="J1246" s="50"/>
      <c r="K1246" s="45" t="b">
        <v>0</v>
      </c>
      <c r="L1246" s="45"/>
      <c r="M1246" s="45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46"/>
      <c r="BM1246" s="46"/>
      <c r="BN1246" s="46"/>
      <c r="BO1246" s="46"/>
    </row>
    <row r="1247">
      <c r="A1247" s="16" t="str">
        <f t="shared" si="14"/>
        <v/>
      </c>
      <c r="B1247" s="16" t="str">
        <f t="shared" si="15"/>
        <v/>
      </c>
      <c r="C1247" s="35" t="str">
        <f t="shared" si="16"/>
        <v/>
      </c>
      <c r="D1247" s="35" t="str">
        <f t="shared" si="17"/>
        <v/>
      </c>
      <c r="E1247" s="35" t="str">
        <f t="shared" si="18"/>
        <v/>
      </c>
      <c r="F1247" s="35" t="str">
        <f t="shared" si="19"/>
        <v/>
      </c>
      <c r="G1247" s="35" t="str">
        <f t="shared" si="20"/>
        <v/>
      </c>
      <c r="H1247" s="49"/>
      <c r="I1247" s="47" t="str">
        <f t="shared" si="21"/>
        <v/>
      </c>
      <c r="J1247" s="50"/>
      <c r="K1247" s="45" t="b">
        <v>0</v>
      </c>
      <c r="L1247" s="45"/>
      <c r="M1247" s="45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6"/>
      <c r="AF1247" s="26"/>
      <c r="AG1247" s="26"/>
      <c r="AH1247" s="26"/>
      <c r="AI1247" s="26"/>
      <c r="AJ1247" s="26"/>
      <c r="AK1247" s="2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46"/>
      <c r="BM1247" s="46"/>
      <c r="BN1247" s="46"/>
      <c r="BO1247" s="46"/>
    </row>
    <row r="1248">
      <c r="A1248" s="16" t="str">
        <f t="shared" si="14"/>
        <v/>
      </c>
      <c r="B1248" s="16" t="str">
        <f t="shared" si="15"/>
        <v/>
      </c>
      <c r="C1248" s="35" t="str">
        <f t="shared" si="16"/>
        <v/>
      </c>
      <c r="D1248" s="35" t="str">
        <f t="shared" si="17"/>
        <v/>
      </c>
      <c r="E1248" s="35" t="str">
        <f t="shared" si="18"/>
        <v/>
      </c>
      <c r="F1248" s="35" t="str">
        <f t="shared" si="19"/>
        <v/>
      </c>
      <c r="G1248" s="35" t="str">
        <f t="shared" si="20"/>
        <v/>
      </c>
      <c r="H1248" s="49"/>
      <c r="I1248" s="47" t="str">
        <f t="shared" si="21"/>
        <v/>
      </c>
      <c r="J1248" s="50"/>
      <c r="K1248" s="45" t="b">
        <v>0</v>
      </c>
      <c r="L1248" s="45"/>
      <c r="M1248" s="45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  <c r="AD1248" s="26"/>
      <c r="AE1248" s="26"/>
      <c r="AF1248" s="26"/>
      <c r="AG1248" s="26"/>
      <c r="AH1248" s="26"/>
      <c r="AI1248" s="26"/>
      <c r="AJ1248" s="26"/>
      <c r="AK1248" s="2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46"/>
      <c r="BM1248" s="46"/>
      <c r="BN1248" s="46"/>
      <c r="BO1248" s="46"/>
    </row>
    <row r="1249">
      <c r="A1249" s="16" t="str">
        <f t="shared" si="14"/>
        <v/>
      </c>
      <c r="B1249" s="16" t="str">
        <f t="shared" si="15"/>
        <v/>
      </c>
      <c r="C1249" s="35" t="str">
        <f t="shared" si="16"/>
        <v/>
      </c>
      <c r="D1249" s="35" t="str">
        <f t="shared" si="17"/>
        <v/>
      </c>
      <c r="E1249" s="35" t="str">
        <f t="shared" si="18"/>
        <v/>
      </c>
      <c r="F1249" s="35" t="str">
        <f t="shared" si="19"/>
        <v/>
      </c>
      <c r="G1249" s="35" t="str">
        <f t="shared" si="20"/>
        <v/>
      </c>
      <c r="H1249" s="49"/>
      <c r="I1249" s="47" t="str">
        <f t="shared" si="21"/>
        <v/>
      </c>
      <c r="J1249" s="50"/>
      <c r="K1249" s="45" t="b">
        <v>0</v>
      </c>
      <c r="L1249" s="45"/>
      <c r="M1249" s="45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46"/>
      <c r="BM1249" s="46"/>
      <c r="BN1249" s="46"/>
      <c r="BO1249" s="46"/>
    </row>
    <row r="1250">
      <c r="A1250" s="16" t="str">
        <f t="shared" si="14"/>
        <v/>
      </c>
      <c r="B1250" s="16" t="str">
        <f t="shared" si="15"/>
        <v/>
      </c>
      <c r="C1250" s="35" t="str">
        <f t="shared" si="16"/>
        <v/>
      </c>
      <c r="D1250" s="35" t="str">
        <f t="shared" si="17"/>
        <v/>
      </c>
      <c r="E1250" s="35" t="str">
        <f t="shared" si="18"/>
        <v/>
      </c>
      <c r="F1250" s="35" t="str">
        <f t="shared" si="19"/>
        <v/>
      </c>
      <c r="G1250" s="35" t="str">
        <f t="shared" si="20"/>
        <v/>
      </c>
      <c r="H1250" s="49"/>
      <c r="I1250" s="47" t="str">
        <f t="shared" si="21"/>
        <v/>
      </c>
      <c r="J1250" s="50"/>
      <c r="K1250" s="45" t="b">
        <v>0</v>
      </c>
      <c r="L1250" s="45"/>
      <c r="M1250" s="45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46"/>
      <c r="BM1250" s="46"/>
      <c r="BN1250" s="46"/>
      <c r="BO1250" s="46"/>
    </row>
    <row r="1251">
      <c r="A1251" s="16" t="str">
        <f t="shared" si="14"/>
        <v/>
      </c>
      <c r="B1251" s="16" t="str">
        <f t="shared" si="15"/>
        <v/>
      </c>
      <c r="C1251" s="35" t="str">
        <f t="shared" si="16"/>
        <v/>
      </c>
      <c r="D1251" s="35" t="str">
        <f t="shared" si="17"/>
        <v/>
      </c>
      <c r="E1251" s="35" t="str">
        <f t="shared" si="18"/>
        <v/>
      </c>
      <c r="F1251" s="35" t="str">
        <f t="shared" si="19"/>
        <v/>
      </c>
      <c r="G1251" s="35" t="str">
        <f t="shared" si="20"/>
        <v/>
      </c>
      <c r="H1251" s="49"/>
      <c r="I1251" s="47" t="str">
        <f t="shared" si="21"/>
        <v/>
      </c>
      <c r="J1251" s="50"/>
      <c r="K1251" s="45" t="b">
        <v>0</v>
      </c>
      <c r="L1251" s="45"/>
      <c r="M1251" s="45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46"/>
      <c r="BM1251" s="46"/>
      <c r="BN1251" s="46"/>
      <c r="BO1251" s="46"/>
    </row>
    <row r="1252">
      <c r="A1252" s="16" t="str">
        <f t="shared" si="14"/>
        <v/>
      </c>
      <c r="B1252" s="16" t="str">
        <f t="shared" si="15"/>
        <v/>
      </c>
      <c r="C1252" s="35" t="str">
        <f t="shared" si="16"/>
        <v/>
      </c>
      <c r="D1252" s="35" t="str">
        <f t="shared" si="17"/>
        <v/>
      </c>
      <c r="E1252" s="35" t="str">
        <f t="shared" si="18"/>
        <v/>
      </c>
      <c r="F1252" s="35" t="str">
        <f t="shared" si="19"/>
        <v/>
      </c>
      <c r="G1252" s="35" t="str">
        <f t="shared" si="20"/>
        <v/>
      </c>
      <c r="H1252" s="49"/>
      <c r="I1252" s="47" t="str">
        <f t="shared" si="21"/>
        <v/>
      </c>
      <c r="J1252" s="50"/>
      <c r="K1252" s="45" t="b">
        <v>0</v>
      </c>
      <c r="L1252" s="45"/>
      <c r="M1252" s="45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46"/>
      <c r="BM1252" s="46"/>
      <c r="BN1252" s="46"/>
      <c r="BO1252" s="46"/>
    </row>
    <row r="1253">
      <c r="A1253" s="16" t="str">
        <f t="shared" si="14"/>
        <v/>
      </c>
      <c r="B1253" s="16" t="str">
        <f t="shared" si="15"/>
        <v/>
      </c>
      <c r="C1253" s="35" t="str">
        <f t="shared" si="16"/>
        <v/>
      </c>
      <c r="D1253" s="35" t="str">
        <f t="shared" si="17"/>
        <v/>
      </c>
      <c r="E1253" s="35" t="str">
        <f t="shared" si="18"/>
        <v/>
      </c>
      <c r="F1253" s="35" t="str">
        <f t="shared" si="19"/>
        <v/>
      </c>
      <c r="G1253" s="35" t="str">
        <f t="shared" si="20"/>
        <v/>
      </c>
      <c r="H1253" s="49"/>
      <c r="I1253" s="47" t="str">
        <f t="shared" si="21"/>
        <v/>
      </c>
      <c r="J1253" s="50"/>
      <c r="K1253" s="45" t="b">
        <v>0</v>
      </c>
      <c r="L1253" s="45"/>
      <c r="M1253" s="45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46"/>
      <c r="BM1253" s="46"/>
      <c r="BN1253" s="46"/>
      <c r="BO1253" s="46"/>
    </row>
    <row r="1254">
      <c r="A1254" s="16" t="str">
        <f t="shared" si="14"/>
        <v/>
      </c>
      <c r="B1254" s="16" t="str">
        <f t="shared" si="15"/>
        <v/>
      </c>
      <c r="C1254" s="35" t="str">
        <f t="shared" si="16"/>
        <v/>
      </c>
      <c r="D1254" s="35" t="str">
        <f t="shared" si="17"/>
        <v/>
      </c>
      <c r="E1254" s="35" t="str">
        <f t="shared" si="18"/>
        <v/>
      </c>
      <c r="F1254" s="35" t="str">
        <f t="shared" si="19"/>
        <v/>
      </c>
      <c r="G1254" s="35" t="str">
        <f t="shared" si="20"/>
        <v/>
      </c>
      <c r="H1254" s="49"/>
      <c r="I1254" s="47" t="str">
        <f t="shared" si="21"/>
        <v/>
      </c>
      <c r="J1254" s="50"/>
      <c r="K1254" s="45" t="b">
        <v>0</v>
      </c>
      <c r="L1254" s="45"/>
      <c r="M1254" s="45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46"/>
      <c r="BM1254" s="46"/>
      <c r="BN1254" s="46"/>
      <c r="BO1254" s="46"/>
    </row>
    <row r="1255">
      <c r="A1255" s="16" t="str">
        <f t="shared" si="14"/>
        <v/>
      </c>
      <c r="B1255" s="16" t="str">
        <f t="shared" si="15"/>
        <v/>
      </c>
      <c r="C1255" s="35" t="str">
        <f t="shared" si="16"/>
        <v/>
      </c>
      <c r="D1255" s="35" t="str">
        <f t="shared" si="17"/>
        <v/>
      </c>
      <c r="E1255" s="35" t="str">
        <f t="shared" si="18"/>
        <v/>
      </c>
      <c r="F1255" s="35" t="str">
        <f t="shared" si="19"/>
        <v/>
      </c>
      <c r="G1255" s="35" t="str">
        <f t="shared" si="20"/>
        <v/>
      </c>
      <c r="H1255" s="49"/>
      <c r="I1255" s="47" t="str">
        <f t="shared" si="21"/>
        <v/>
      </c>
      <c r="J1255" s="50"/>
      <c r="K1255" s="45" t="b">
        <v>0</v>
      </c>
      <c r="L1255" s="45"/>
      <c r="M1255" s="45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46"/>
      <c r="BM1255" s="46"/>
      <c r="BN1255" s="46"/>
      <c r="BO1255" s="46"/>
    </row>
    <row r="1256">
      <c r="A1256" s="16" t="str">
        <f t="shared" si="14"/>
        <v/>
      </c>
      <c r="B1256" s="16" t="str">
        <f t="shared" si="15"/>
        <v/>
      </c>
      <c r="C1256" s="35" t="str">
        <f t="shared" si="16"/>
        <v/>
      </c>
      <c r="D1256" s="35" t="str">
        <f t="shared" si="17"/>
        <v/>
      </c>
      <c r="E1256" s="35" t="str">
        <f t="shared" si="18"/>
        <v/>
      </c>
      <c r="F1256" s="35" t="str">
        <f t="shared" si="19"/>
        <v/>
      </c>
      <c r="G1256" s="35" t="str">
        <f t="shared" si="20"/>
        <v/>
      </c>
      <c r="H1256" s="49"/>
      <c r="I1256" s="47" t="str">
        <f t="shared" si="21"/>
        <v/>
      </c>
      <c r="J1256" s="50"/>
      <c r="K1256" s="45" t="b">
        <v>0</v>
      </c>
      <c r="L1256" s="45"/>
      <c r="M1256" s="45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46"/>
      <c r="BM1256" s="46"/>
      <c r="BN1256" s="46"/>
      <c r="BO1256" s="46"/>
    </row>
    <row r="1257">
      <c r="A1257" s="16" t="str">
        <f t="shared" si="14"/>
        <v/>
      </c>
      <c r="B1257" s="16" t="str">
        <f t="shared" si="15"/>
        <v/>
      </c>
      <c r="C1257" s="35" t="str">
        <f t="shared" si="16"/>
        <v/>
      </c>
      <c r="D1257" s="35" t="str">
        <f t="shared" si="17"/>
        <v/>
      </c>
      <c r="E1257" s="35" t="str">
        <f t="shared" si="18"/>
        <v/>
      </c>
      <c r="F1257" s="35" t="str">
        <f t="shared" si="19"/>
        <v/>
      </c>
      <c r="G1257" s="35" t="str">
        <f t="shared" si="20"/>
        <v/>
      </c>
      <c r="H1257" s="49"/>
      <c r="I1257" s="47" t="str">
        <f t="shared" si="21"/>
        <v/>
      </c>
      <c r="J1257" s="50"/>
      <c r="K1257" s="45" t="b">
        <v>0</v>
      </c>
      <c r="L1257" s="45"/>
      <c r="M1257" s="45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46"/>
      <c r="BM1257" s="46"/>
      <c r="BN1257" s="46"/>
      <c r="BO1257" s="46"/>
    </row>
    <row r="1258">
      <c r="A1258" s="16" t="str">
        <f t="shared" si="14"/>
        <v/>
      </c>
      <c r="B1258" s="16" t="str">
        <f t="shared" si="15"/>
        <v/>
      </c>
      <c r="C1258" s="35" t="str">
        <f t="shared" si="16"/>
        <v/>
      </c>
      <c r="D1258" s="35" t="str">
        <f t="shared" si="17"/>
        <v/>
      </c>
      <c r="E1258" s="35" t="str">
        <f t="shared" si="18"/>
        <v/>
      </c>
      <c r="F1258" s="35" t="str">
        <f t="shared" si="19"/>
        <v/>
      </c>
      <c r="G1258" s="35" t="str">
        <f t="shared" si="20"/>
        <v/>
      </c>
      <c r="H1258" s="49"/>
      <c r="I1258" s="47" t="str">
        <f t="shared" si="21"/>
        <v/>
      </c>
      <c r="J1258" s="50"/>
      <c r="K1258" s="45" t="b">
        <v>0</v>
      </c>
      <c r="L1258" s="45"/>
      <c r="M1258" s="45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46"/>
      <c r="BM1258" s="46"/>
      <c r="BN1258" s="46"/>
      <c r="BO1258" s="46"/>
    </row>
    <row r="1259">
      <c r="A1259" s="16" t="str">
        <f t="shared" si="14"/>
        <v/>
      </c>
      <c r="B1259" s="16" t="str">
        <f t="shared" si="15"/>
        <v/>
      </c>
      <c r="C1259" s="35" t="str">
        <f t="shared" si="16"/>
        <v/>
      </c>
      <c r="D1259" s="35" t="str">
        <f t="shared" si="17"/>
        <v/>
      </c>
      <c r="E1259" s="35" t="str">
        <f t="shared" si="18"/>
        <v/>
      </c>
      <c r="F1259" s="35" t="str">
        <f t="shared" si="19"/>
        <v/>
      </c>
      <c r="G1259" s="35" t="str">
        <f t="shared" si="20"/>
        <v/>
      </c>
      <c r="H1259" s="49"/>
      <c r="I1259" s="47" t="str">
        <f t="shared" si="21"/>
        <v/>
      </c>
      <c r="J1259" s="50"/>
      <c r="K1259" s="45" t="b">
        <v>0</v>
      </c>
      <c r="L1259" s="45"/>
      <c r="M1259" s="45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  <c r="AD1259" s="26"/>
      <c r="AE1259" s="26"/>
      <c r="AF1259" s="26"/>
      <c r="AG1259" s="26"/>
      <c r="AH1259" s="26"/>
      <c r="AI1259" s="26"/>
      <c r="AJ1259" s="26"/>
      <c r="AK1259" s="2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46"/>
      <c r="BM1259" s="46"/>
      <c r="BN1259" s="46"/>
      <c r="BO1259" s="46"/>
    </row>
    <row r="1260">
      <c r="A1260" s="16" t="str">
        <f t="shared" si="14"/>
        <v/>
      </c>
      <c r="B1260" s="16" t="str">
        <f t="shared" si="15"/>
        <v/>
      </c>
      <c r="C1260" s="35" t="str">
        <f t="shared" si="16"/>
        <v/>
      </c>
      <c r="D1260" s="35" t="str">
        <f t="shared" si="17"/>
        <v/>
      </c>
      <c r="E1260" s="35" t="str">
        <f t="shared" si="18"/>
        <v/>
      </c>
      <c r="F1260" s="35" t="str">
        <f t="shared" si="19"/>
        <v/>
      </c>
      <c r="G1260" s="35" t="str">
        <f t="shared" si="20"/>
        <v/>
      </c>
      <c r="H1260" s="49"/>
      <c r="I1260" s="47" t="str">
        <f t="shared" si="21"/>
        <v/>
      </c>
      <c r="J1260" s="50"/>
      <c r="K1260" s="45" t="b">
        <v>0</v>
      </c>
      <c r="L1260" s="45"/>
      <c r="M1260" s="45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46"/>
      <c r="BM1260" s="46"/>
      <c r="BN1260" s="46"/>
      <c r="BO1260" s="46"/>
    </row>
    <row r="1261">
      <c r="A1261" s="16" t="str">
        <f t="shared" si="14"/>
        <v/>
      </c>
      <c r="B1261" s="16" t="str">
        <f t="shared" si="15"/>
        <v/>
      </c>
      <c r="C1261" s="35" t="str">
        <f t="shared" si="16"/>
        <v/>
      </c>
      <c r="D1261" s="35" t="str">
        <f t="shared" si="17"/>
        <v/>
      </c>
      <c r="E1261" s="35" t="str">
        <f t="shared" si="18"/>
        <v/>
      </c>
      <c r="F1261" s="35" t="str">
        <f t="shared" si="19"/>
        <v/>
      </c>
      <c r="G1261" s="35" t="str">
        <f t="shared" si="20"/>
        <v/>
      </c>
      <c r="H1261" s="49"/>
      <c r="I1261" s="47" t="str">
        <f t="shared" si="21"/>
        <v/>
      </c>
      <c r="J1261" s="50"/>
      <c r="K1261" s="45" t="b">
        <v>0</v>
      </c>
      <c r="L1261" s="45"/>
      <c r="M1261" s="45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6"/>
      <c r="AH1261" s="26"/>
      <c r="AI1261" s="26"/>
      <c r="AJ1261" s="26"/>
      <c r="AK1261" s="2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46"/>
      <c r="BM1261" s="46"/>
      <c r="BN1261" s="46"/>
      <c r="BO1261" s="46"/>
    </row>
    <row r="1262">
      <c r="A1262" s="16" t="str">
        <f t="shared" si="14"/>
        <v/>
      </c>
      <c r="B1262" s="16" t="str">
        <f t="shared" si="15"/>
        <v/>
      </c>
      <c r="C1262" s="35" t="str">
        <f t="shared" si="16"/>
        <v/>
      </c>
      <c r="D1262" s="35" t="str">
        <f t="shared" si="17"/>
        <v/>
      </c>
      <c r="E1262" s="35" t="str">
        <f t="shared" si="18"/>
        <v/>
      </c>
      <c r="F1262" s="35" t="str">
        <f t="shared" si="19"/>
        <v/>
      </c>
      <c r="G1262" s="35" t="str">
        <f t="shared" si="20"/>
        <v/>
      </c>
      <c r="H1262" s="49"/>
      <c r="I1262" s="47" t="str">
        <f t="shared" si="21"/>
        <v/>
      </c>
      <c r="J1262" s="50"/>
      <c r="K1262" s="45" t="b">
        <v>0</v>
      </c>
      <c r="L1262" s="45"/>
      <c r="M1262" s="45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/>
    </row>
    <row r="1263">
      <c r="A1263" s="16" t="str">
        <f t="shared" si="14"/>
        <v/>
      </c>
      <c r="B1263" s="16" t="str">
        <f t="shared" si="15"/>
        <v/>
      </c>
      <c r="C1263" s="35" t="str">
        <f t="shared" si="16"/>
        <v/>
      </c>
      <c r="D1263" s="35" t="str">
        <f t="shared" si="17"/>
        <v/>
      </c>
      <c r="E1263" s="35" t="str">
        <f t="shared" si="18"/>
        <v/>
      </c>
      <c r="F1263" s="35" t="str">
        <f t="shared" si="19"/>
        <v/>
      </c>
      <c r="G1263" s="35" t="str">
        <f t="shared" si="20"/>
        <v/>
      </c>
      <c r="H1263" s="49"/>
      <c r="I1263" s="47" t="str">
        <f t="shared" si="21"/>
        <v/>
      </c>
      <c r="J1263" s="50"/>
      <c r="K1263" s="45" t="b">
        <v>0</v>
      </c>
      <c r="L1263" s="45"/>
      <c r="M1263" s="45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46"/>
      <c r="BM1263" s="46"/>
      <c r="BN1263" s="46"/>
      <c r="BO1263" s="46"/>
    </row>
    <row r="1264">
      <c r="A1264" s="16" t="str">
        <f t="shared" si="14"/>
        <v/>
      </c>
      <c r="B1264" s="16" t="str">
        <f t="shared" si="15"/>
        <v/>
      </c>
      <c r="C1264" s="35" t="str">
        <f t="shared" si="16"/>
        <v/>
      </c>
      <c r="D1264" s="35" t="str">
        <f t="shared" si="17"/>
        <v/>
      </c>
      <c r="E1264" s="35" t="str">
        <f t="shared" si="18"/>
        <v/>
      </c>
      <c r="F1264" s="35" t="str">
        <f t="shared" si="19"/>
        <v/>
      </c>
      <c r="G1264" s="35" t="str">
        <f t="shared" si="20"/>
        <v/>
      </c>
      <c r="H1264" s="49"/>
      <c r="I1264" s="47" t="str">
        <f t="shared" si="21"/>
        <v/>
      </c>
      <c r="J1264" s="50"/>
      <c r="K1264" s="45" t="b">
        <v>0</v>
      </c>
      <c r="L1264" s="45"/>
      <c r="M1264" s="45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46"/>
      <c r="BM1264" s="46"/>
      <c r="BN1264" s="46"/>
      <c r="BO1264" s="46"/>
    </row>
    <row r="1265">
      <c r="A1265" s="16" t="str">
        <f t="shared" si="14"/>
        <v/>
      </c>
      <c r="B1265" s="16" t="str">
        <f t="shared" si="15"/>
        <v/>
      </c>
      <c r="C1265" s="35" t="str">
        <f t="shared" si="16"/>
        <v/>
      </c>
      <c r="D1265" s="35" t="str">
        <f t="shared" si="17"/>
        <v/>
      </c>
      <c r="E1265" s="35" t="str">
        <f t="shared" si="18"/>
        <v/>
      </c>
      <c r="F1265" s="35" t="str">
        <f t="shared" si="19"/>
        <v/>
      </c>
      <c r="G1265" s="35" t="str">
        <f t="shared" si="20"/>
        <v/>
      </c>
      <c r="H1265" s="49"/>
      <c r="I1265" s="47" t="str">
        <f t="shared" si="21"/>
        <v/>
      </c>
      <c r="J1265" s="50"/>
      <c r="K1265" s="45" t="b">
        <v>0</v>
      </c>
      <c r="L1265" s="45"/>
      <c r="M1265" s="45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46"/>
      <c r="BM1265" s="46"/>
      <c r="BN1265" s="46"/>
      <c r="BO1265" s="46"/>
    </row>
    <row r="1266">
      <c r="A1266" s="16" t="str">
        <f t="shared" si="14"/>
        <v/>
      </c>
      <c r="B1266" s="16" t="str">
        <f t="shared" si="15"/>
        <v/>
      </c>
      <c r="C1266" s="35" t="str">
        <f t="shared" si="16"/>
        <v/>
      </c>
      <c r="D1266" s="35" t="str">
        <f t="shared" si="17"/>
        <v/>
      </c>
      <c r="E1266" s="35" t="str">
        <f t="shared" si="18"/>
        <v/>
      </c>
      <c r="F1266" s="35" t="str">
        <f t="shared" si="19"/>
        <v/>
      </c>
      <c r="G1266" s="35" t="str">
        <f t="shared" si="20"/>
        <v/>
      </c>
      <c r="H1266" s="49"/>
      <c r="I1266" s="47" t="str">
        <f t="shared" si="21"/>
        <v/>
      </c>
      <c r="J1266" s="50"/>
      <c r="K1266" s="45" t="b">
        <v>0</v>
      </c>
      <c r="L1266" s="45"/>
      <c r="M1266" s="45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46"/>
      <c r="BM1266" s="46"/>
      <c r="BN1266" s="46"/>
      <c r="BO1266" s="46"/>
    </row>
    <row r="1267">
      <c r="A1267" s="16" t="str">
        <f t="shared" si="14"/>
        <v/>
      </c>
      <c r="B1267" s="16" t="str">
        <f t="shared" si="15"/>
        <v/>
      </c>
      <c r="C1267" s="35" t="str">
        <f t="shared" si="16"/>
        <v/>
      </c>
      <c r="D1267" s="35" t="str">
        <f t="shared" si="17"/>
        <v/>
      </c>
      <c r="E1267" s="35" t="str">
        <f t="shared" si="18"/>
        <v/>
      </c>
      <c r="F1267" s="35" t="str">
        <f t="shared" si="19"/>
        <v/>
      </c>
      <c r="G1267" s="35" t="str">
        <f t="shared" si="20"/>
        <v/>
      </c>
      <c r="H1267" s="49"/>
      <c r="I1267" s="47" t="str">
        <f t="shared" si="21"/>
        <v/>
      </c>
      <c r="J1267" s="50"/>
      <c r="K1267" s="45" t="b">
        <v>0</v>
      </c>
      <c r="L1267" s="45"/>
      <c r="M1267" s="45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46"/>
      <c r="BM1267" s="46"/>
      <c r="BN1267" s="46"/>
      <c r="BO1267" s="46"/>
    </row>
    <row r="1268">
      <c r="A1268" s="16" t="str">
        <f t="shared" si="14"/>
        <v/>
      </c>
      <c r="B1268" s="16" t="str">
        <f t="shared" si="15"/>
        <v/>
      </c>
      <c r="C1268" s="35" t="str">
        <f t="shared" si="16"/>
        <v/>
      </c>
      <c r="D1268" s="35" t="str">
        <f t="shared" si="17"/>
        <v/>
      </c>
      <c r="E1268" s="35" t="str">
        <f t="shared" si="18"/>
        <v/>
      </c>
      <c r="F1268" s="35" t="str">
        <f t="shared" si="19"/>
        <v/>
      </c>
      <c r="G1268" s="35" t="str">
        <f t="shared" si="20"/>
        <v/>
      </c>
      <c r="H1268" s="49"/>
      <c r="I1268" s="47" t="str">
        <f t="shared" si="21"/>
        <v/>
      </c>
      <c r="J1268" s="50"/>
      <c r="K1268" s="45" t="b">
        <v>0</v>
      </c>
      <c r="L1268" s="45"/>
      <c r="M1268" s="45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6"/>
      <c r="AJ1268" s="26"/>
      <c r="AK1268" s="2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46"/>
      <c r="BM1268" s="46"/>
      <c r="BN1268" s="46"/>
      <c r="BO1268" s="46"/>
    </row>
    <row r="1269">
      <c r="A1269" s="16" t="str">
        <f t="shared" si="14"/>
        <v/>
      </c>
      <c r="B1269" s="16" t="str">
        <f t="shared" si="15"/>
        <v/>
      </c>
      <c r="C1269" s="35" t="str">
        <f t="shared" si="16"/>
        <v/>
      </c>
      <c r="D1269" s="35" t="str">
        <f t="shared" si="17"/>
        <v/>
      </c>
      <c r="E1269" s="35" t="str">
        <f t="shared" si="18"/>
        <v/>
      </c>
      <c r="F1269" s="35" t="str">
        <f t="shared" si="19"/>
        <v/>
      </c>
      <c r="G1269" s="35" t="str">
        <f t="shared" si="20"/>
        <v/>
      </c>
      <c r="H1269" s="49"/>
      <c r="I1269" s="47" t="str">
        <f t="shared" si="21"/>
        <v/>
      </c>
      <c r="J1269" s="50"/>
      <c r="K1269" s="45" t="b">
        <v>0</v>
      </c>
      <c r="L1269" s="45"/>
      <c r="M1269" s="45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46"/>
      <c r="BM1269" s="46"/>
      <c r="BN1269" s="46"/>
      <c r="BO1269" s="46"/>
    </row>
    <row r="1270">
      <c r="A1270" s="16" t="str">
        <f t="shared" si="14"/>
        <v/>
      </c>
      <c r="B1270" s="16" t="str">
        <f t="shared" si="15"/>
        <v/>
      </c>
      <c r="C1270" s="35" t="str">
        <f t="shared" si="16"/>
        <v/>
      </c>
      <c r="D1270" s="35" t="str">
        <f t="shared" si="17"/>
        <v/>
      </c>
      <c r="E1270" s="35" t="str">
        <f t="shared" si="18"/>
        <v/>
      </c>
      <c r="F1270" s="35" t="str">
        <f t="shared" si="19"/>
        <v/>
      </c>
      <c r="G1270" s="35" t="str">
        <f t="shared" si="20"/>
        <v/>
      </c>
      <c r="H1270" s="49"/>
      <c r="I1270" s="47" t="str">
        <f t="shared" si="21"/>
        <v/>
      </c>
      <c r="J1270" s="50"/>
      <c r="K1270" s="45" t="b">
        <v>0</v>
      </c>
      <c r="L1270" s="45"/>
      <c r="M1270" s="45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46"/>
      <c r="BM1270" s="46"/>
      <c r="BN1270" s="46"/>
      <c r="BO1270" s="46"/>
    </row>
    <row r="1271">
      <c r="A1271" s="16" t="str">
        <f t="shared" si="14"/>
        <v/>
      </c>
      <c r="B1271" s="16" t="str">
        <f t="shared" si="15"/>
        <v/>
      </c>
      <c r="C1271" s="35" t="str">
        <f t="shared" si="16"/>
        <v/>
      </c>
      <c r="D1271" s="35" t="str">
        <f t="shared" si="17"/>
        <v/>
      </c>
      <c r="E1271" s="35" t="str">
        <f t="shared" si="18"/>
        <v/>
      </c>
      <c r="F1271" s="35" t="str">
        <f t="shared" si="19"/>
        <v/>
      </c>
      <c r="G1271" s="35" t="str">
        <f t="shared" si="20"/>
        <v/>
      </c>
      <c r="H1271" s="49"/>
      <c r="I1271" s="47" t="str">
        <f t="shared" si="21"/>
        <v/>
      </c>
      <c r="J1271" s="50"/>
      <c r="K1271" s="45" t="b">
        <v>0</v>
      </c>
      <c r="L1271" s="45"/>
      <c r="M1271" s="45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</row>
    <row r="1272">
      <c r="A1272" s="16" t="str">
        <f t="shared" si="14"/>
        <v/>
      </c>
      <c r="B1272" s="16" t="str">
        <f t="shared" si="15"/>
        <v/>
      </c>
      <c r="C1272" s="35" t="str">
        <f t="shared" si="16"/>
        <v/>
      </c>
      <c r="D1272" s="35" t="str">
        <f t="shared" si="17"/>
        <v/>
      </c>
      <c r="E1272" s="35" t="str">
        <f t="shared" si="18"/>
        <v/>
      </c>
      <c r="F1272" s="35" t="str">
        <f t="shared" si="19"/>
        <v/>
      </c>
      <c r="G1272" s="35" t="str">
        <f t="shared" si="20"/>
        <v/>
      </c>
      <c r="H1272" s="49"/>
      <c r="I1272" s="47" t="str">
        <f t="shared" si="21"/>
        <v/>
      </c>
      <c r="J1272" s="50"/>
      <c r="K1272" s="45" t="b">
        <v>0</v>
      </c>
      <c r="L1272" s="45"/>
      <c r="M1272" s="45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</row>
    <row r="1273">
      <c r="A1273" s="16" t="str">
        <f t="shared" si="14"/>
        <v/>
      </c>
      <c r="B1273" s="16" t="str">
        <f t="shared" si="15"/>
        <v/>
      </c>
      <c r="C1273" s="35" t="str">
        <f t="shared" si="16"/>
        <v/>
      </c>
      <c r="D1273" s="35" t="str">
        <f t="shared" si="17"/>
        <v/>
      </c>
      <c r="E1273" s="35" t="str">
        <f t="shared" si="18"/>
        <v/>
      </c>
      <c r="F1273" s="35" t="str">
        <f t="shared" si="19"/>
        <v/>
      </c>
      <c r="G1273" s="35" t="str">
        <f t="shared" si="20"/>
        <v/>
      </c>
      <c r="H1273" s="49"/>
      <c r="I1273" s="47" t="str">
        <f t="shared" si="21"/>
        <v/>
      </c>
      <c r="J1273" s="50"/>
      <c r="K1273" s="45" t="b">
        <v>0</v>
      </c>
      <c r="L1273" s="45"/>
      <c r="M1273" s="45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</row>
    <row r="1274">
      <c r="A1274" s="16" t="str">
        <f t="shared" si="14"/>
        <v/>
      </c>
      <c r="B1274" s="16" t="str">
        <f t="shared" si="15"/>
        <v/>
      </c>
      <c r="C1274" s="35" t="str">
        <f t="shared" si="16"/>
        <v/>
      </c>
      <c r="D1274" s="35" t="str">
        <f t="shared" si="17"/>
        <v/>
      </c>
      <c r="E1274" s="35" t="str">
        <f t="shared" si="18"/>
        <v/>
      </c>
      <c r="F1274" s="35" t="str">
        <f t="shared" si="19"/>
        <v/>
      </c>
      <c r="G1274" s="35" t="str">
        <f t="shared" si="20"/>
        <v/>
      </c>
      <c r="H1274" s="49"/>
      <c r="I1274" s="47" t="str">
        <f t="shared" si="21"/>
        <v/>
      </c>
      <c r="J1274" s="50"/>
      <c r="K1274" s="45" t="b">
        <v>0</v>
      </c>
      <c r="L1274" s="45"/>
      <c r="M1274" s="45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</row>
    <row r="1275">
      <c r="A1275" s="16" t="str">
        <f t="shared" si="14"/>
        <v/>
      </c>
      <c r="B1275" s="16" t="str">
        <f t="shared" si="15"/>
        <v/>
      </c>
      <c r="C1275" s="35" t="str">
        <f t="shared" si="16"/>
        <v/>
      </c>
      <c r="D1275" s="35" t="str">
        <f t="shared" si="17"/>
        <v/>
      </c>
      <c r="E1275" s="35" t="str">
        <f t="shared" si="18"/>
        <v/>
      </c>
      <c r="F1275" s="35" t="str">
        <f t="shared" si="19"/>
        <v/>
      </c>
      <c r="G1275" s="35" t="str">
        <f t="shared" si="20"/>
        <v/>
      </c>
      <c r="H1275" s="49"/>
      <c r="I1275" s="47" t="str">
        <f t="shared" si="21"/>
        <v/>
      </c>
      <c r="J1275" s="50"/>
      <c r="K1275" s="45" t="b">
        <v>0</v>
      </c>
      <c r="L1275" s="45"/>
      <c r="M1275" s="45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</row>
    <row r="1276">
      <c r="A1276" s="16" t="str">
        <f t="shared" si="14"/>
        <v/>
      </c>
      <c r="B1276" s="16" t="str">
        <f t="shared" si="15"/>
        <v/>
      </c>
      <c r="C1276" s="35" t="str">
        <f t="shared" si="16"/>
        <v/>
      </c>
      <c r="D1276" s="35" t="str">
        <f t="shared" si="17"/>
        <v/>
      </c>
      <c r="E1276" s="35" t="str">
        <f t="shared" si="18"/>
        <v/>
      </c>
      <c r="F1276" s="35" t="str">
        <f t="shared" si="19"/>
        <v/>
      </c>
      <c r="G1276" s="35" t="str">
        <f t="shared" si="20"/>
        <v/>
      </c>
      <c r="H1276" s="49"/>
      <c r="I1276" s="47" t="str">
        <f t="shared" si="21"/>
        <v/>
      </c>
      <c r="J1276" s="50"/>
      <c r="K1276" s="45" t="b">
        <v>0</v>
      </c>
      <c r="L1276" s="45"/>
      <c r="M1276" s="45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/>
    </row>
    <row r="1277">
      <c r="A1277" s="16" t="str">
        <f t="shared" si="14"/>
        <v/>
      </c>
      <c r="B1277" s="16" t="str">
        <f t="shared" si="15"/>
        <v/>
      </c>
      <c r="C1277" s="35" t="str">
        <f t="shared" si="16"/>
        <v/>
      </c>
      <c r="D1277" s="35" t="str">
        <f t="shared" si="17"/>
        <v/>
      </c>
      <c r="E1277" s="35" t="str">
        <f t="shared" si="18"/>
        <v/>
      </c>
      <c r="F1277" s="35" t="str">
        <f t="shared" si="19"/>
        <v/>
      </c>
      <c r="G1277" s="35" t="str">
        <f t="shared" si="20"/>
        <v/>
      </c>
      <c r="H1277" s="49"/>
      <c r="I1277" s="47" t="str">
        <f t="shared" si="21"/>
        <v/>
      </c>
      <c r="J1277" s="50"/>
      <c r="K1277" s="45" t="b">
        <v>0</v>
      </c>
      <c r="L1277" s="45"/>
      <c r="M1277" s="45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</row>
    <row r="1278">
      <c r="A1278" s="16" t="str">
        <f t="shared" si="14"/>
        <v/>
      </c>
      <c r="B1278" s="16" t="str">
        <f t="shared" si="15"/>
        <v/>
      </c>
      <c r="C1278" s="35" t="str">
        <f t="shared" si="16"/>
        <v/>
      </c>
      <c r="D1278" s="35" t="str">
        <f t="shared" si="17"/>
        <v/>
      </c>
      <c r="E1278" s="35" t="str">
        <f t="shared" si="18"/>
        <v/>
      </c>
      <c r="F1278" s="35" t="str">
        <f t="shared" si="19"/>
        <v/>
      </c>
      <c r="G1278" s="35" t="str">
        <f t="shared" si="20"/>
        <v/>
      </c>
      <c r="H1278" s="49"/>
      <c r="I1278" s="47" t="str">
        <f t="shared" si="21"/>
        <v/>
      </c>
      <c r="J1278" s="50"/>
      <c r="K1278" s="45" t="b">
        <v>0</v>
      </c>
      <c r="L1278" s="45"/>
      <c r="M1278" s="45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6"/>
      <c r="AF1278" s="26"/>
      <c r="AG1278" s="26"/>
      <c r="AH1278" s="26"/>
      <c r="AI1278" s="26"/>
      <c r="AJ1278" s="26"/>
      <c r="AK1278" s="2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46"/>
      <c r="BM1278" s="46"/>
      <c r="BN1278" s="46"/>
      <c r="BO1278" s="46"/>
    </row>
    <row r="1279">
      <c r="A1279" s="16" t="str">
        <f t="shared" si="14"/>
        <v/>
      </c>
      <c r="B1279" s="16" t="str">
        <f t="shared" si="15"/>
        <v/>
      </c>
      <c r="C1279" s="35" t="str">
        <f t="shared" si="16"/>
        <v/>
      </c>
      <c r="D1279" s="35" t="str">
        <f t="shared" si="17"/>
        <v/>
      </c>
      <c r="E1279" s="35" t="str">
        <f t="shared" si="18"/>
        <v/>
      </c>
      <c r="F1279" s="35" t="str">
        <f t="shared" si="19"/>
        <v/>
      </c>
      <c r="G1279" s="35" t="str">
        <f t="shared" si="20"/>
        <v/>
      </c>
      <c r="H1279" s="49"/>
      <c r="I1279" s="47" t="str">
        <f t="shared" si="21"/>
        <v/>
      </c>
      <c r="J1279" s="50"/>
      <c r="K1279" s="45" t="b">
        <v>0</v>
      </c>
      <c r="L1279" s="45"/>
      <c r="M1279" s="45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26"/>
      <c r="AJ1279" s="26"/>
      <c r="AK1279" s="2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46"/>
      <c r="BM1279" s="46"/>
      <c r="BN1279" s="46"/>
      <c r="BO1279" s="46"/>
    </row>
    <row r="1280">
      <c r="A1280" s="16" t="str">
        <f t="shared" si="14"/>
        <v/>
      </c>
      <c r="B1280" s="16" t="str">
        <f t="shared" si="15"/>
        <v/>
      </c>
      <c r="C1280" s="35" t="str">
        <f t="shared" si="16"/>
        <v/>
      </c>
      <c r="D1280" s="35" t="str">
        <f t="shared" si="17"/>
        <v/>
      </c>
      <c r="E1280" s="35" t="str">
        <f t="shared" si="18"/>
        <v/>
      </c>
      <c r="F1280" s="35" t="str">
        <f t="shared" si="19"/>
        <v/>
      </c>
      <c r="G1280" s="35" t="str">
        <f t="shared" si="20"/>
        <v/>
      </c>
      <c r="H1280" s="49"/>
      <c r="I1280" s="47" t="str">
        <f t="shared" si="21"/>
        <v/>
      </c>
      <c r="J1280" s="50"/>
      <c r="K1280" s="45" t="b">
        <v>0</v>
      </c>
      <c r="L1280" s="45"/>
      <c r="M1280" s="45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  <c r="AD1280" s="26"/>
      <c r="AE1280" s="26"/>
      <c r="AF1280" s="26"/>
      <c r="AG1280" s="26"/>
      <c r="AH1280" s="26"/>
      <c r="AI1280" s="26"/>
      <c r="AJ1280" s="26"/>
      <c r="AK1280" s="2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46"/>
      <c r="BM1280" s="46"/>
      <c r="BN1280" s="46"/>
      <c r="BO1280" s="46"/>
    </row>
    <row r="1281">
      <c r="A1281" s="16" t="str">
        <f t="shared" si="14"/>
        <v/>
      </c>
      <c r="B1281" s="16" t="str">
        <f t="shared" si="15"/>
        <v/>
      </c>
      <c r="C1281" s="35" t="str">
        <f t="shared" si="16"/>
        <v/>
      </c>
      <c r="D1281" s="35" t="str">
        <f t="shared" si="17"/>
        <v/>
      </c>
      <c r="E1281" s="35" t="str">
        <f t="shared" si="18"/>
        <v/>
      </c>
      <c r="F1281" s="35" t="str">
        <f t="shared" si="19"/>
        <v/>
      </c>
      <c r="G1281" s="35" t="str">
        <f t="shared" si="20"/>
        <v/>
      </c>
      <c r="H1281" s="49"/>
      <c r="I1281" s="47" t="str">
        <f t="shared" si="21"/>
        <v/>
      </c>
      <c r="J1281" s="50"/>
      <c r="K1281" s="45" t="b">
        <v>0</v>
      </c>
      <c r="L1281" s="45"/>
      <c r="M1281" s="45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  <c r="AD1281" s="26"/>
      <c r="AE1281" s="26"/>
      <c r="AF1281" s="26"/>
      <c r="AG1281" s="26"/>
      <c r="AH1281" s="26"/>
      <c r="AI1281" s="26"/>
      <c r="AJ1281" s="26"/>
      <c r="AK1281" s="2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46"/>
      <c r="BM1281" s="46"/>
      <c r="BN1281" s="46"/>
      <c r="BO1281" s="46"/>
    </row>
    <row r="1282">
      <c r="A1282" s="16" t="str">
        <f t="shared" si="14"/>
        <v/>
      </c>
      <c r="B1282" s="16" t="str">
        <f t="shared" si="15"/>
        <v/>
      </c>
      <c r="C1282" s="35" t="str">
        <f t="shared" si="16"/>
        <v/>
      </c>
      <c r="D1282" s="35" t="str">
        <f t="shared" si="17"/>
        <v/>
      </c>
      <c r="E1282" s="35" t="str">
        <f t="shared" si="18"/>
        <v/>
      </c>
      <c r="F1282" s="35" t="str">
        <f t="shared" si="19"/>
        <v/>
      </c>
      <c r="G1282" s="35" t="str">
        <f t="shared" si="20"/>
        <v/>
      </c>
      <c r="H1282" s="49"/>
      <c r="I1282" s="47" t="str">
        <f t="shared" si="21"/>
        <v/>
      </c>
      <c r="J1282" s="50"/>
      <c r="K1282" s="45" t="b">
        <v>0</v>
      </c>
      <c r="L1282" s="45"/>
      <c r="M1282" s="45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26"/>
      <c r="AH1282" s="26"/>
      <c r="AI1282" s="26"/>
      <c r="AJ1282" s="26"/>
      <c r="AK1282" s="2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46"/>
      <c r="BM1282" s="46"/>
      <c r="BN1282" s="46"/>
      <c r="BO1282" s="46"/>
    </row>
    <row r="1283">
      <c r="A1283" s="16" t="str">
        <f t="shared" si="14"/>
        <v/>
      </c>
      <c r="B1283" s="16" t="str">
        <f t="shared" si="15"/>
        <v/>
      </c>
      <c r="C1283" s="35" t="str">
        <f t="shared" si="16"/>
        <v/>
      </c>
      <c r="D1283" s="35" t="str">
        <f t="shared" si="17"/>
        <v/>
      </c>
      <c r="E1283" s="35" t="str">
        <f t="shared" si="18"/>
        <v/>
      </c>
      <c r="F1283" s="35" t="str">
        <f t="shared" si="19"/>
        <v/>
      </c>
      <c r="G1283" s="35" t="str">
        <f t="shared" si="20"/>
        <v/>
      </c>
      <c r="H1283" s="49"/>
      <c r="I1283" s="47" t="str">
        <f t="shared" si="21"/>
        <v/>
      </c>
      <c r="J1283" s="50"/>
      <c r="K1283" s="45" t="b">
        <v>0</v>
      </c>
      <c r="L1283" s="45"/>
      <c r="M1283" s="45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46"/>
      <c r="BM1283" s="46"/>
      <c r="BN1283" s="46"/>
      <c r="BO1283" s="46"/>
    </row>
    <row r="1284">
      <c r="A1284" s="16" t="str">
        <f t="shared" si="14"/>
        <v/>
      </c>
      <c r="B1284" s="16" t="str">
        <f t="shared" si="15"/>
        <v/>
      </c>
      <c r="C1284" s="35" t="str">
        <f t="shared" si="16"/>
        <v/>
      </c>
      <c r="D1284" s="35" t="str">
        <f t="shared" si="17"/>
        <v/>
      </c>
      <c r="E1284" s="35" t="str">
        <f t="shared" si="18"/>
        <v/>
      </c>
      <c r="F1284" s="35" t="str">
        <f t="shared" si="19"/>
        <v/>
      </c>
      <c r="G1284" s="35" t="str">
        <f t="shared" si="20"/>
        <v/>
      </c>
      <c r="H1284" s="49"/>
      <c r="I1284" s="47" t="str">
        <f t="shared" si="21"/>
        <v/>
      </c>
      <c r="J1284" s="50"/>
      <c r="K1284" s="45" t="b">
        <v>0</v>
      </c>
      <c r="L1284" s="45"/>
      <c r="M1284" s="45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6"/>
      <c r="AF1284" s="26"/>
      <c r="AG1284" s="26"/>
      <c r="AH1284" s="26"/>
      <c r="AI1284" s="26"/>
      <c r="AJ1284" s="26"/>
      <c r="AK1284" s="2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46"/>
      <c r="BM1284" s="46"/>
      <c r="BN1284" s="46"/>
      <c r="BO1284" s="46"/>
    </row>
    <row r="1285">
      <c r="A1285" s="16" t="str">
        <f t="shared" si="14"/>
        <v/>
      </c>
      <c r="B1285" s="16" t="str">
        <f t="shared" si="15"/>
        <v/>
      </c>
      <c r="C1285" s="35" t="str">
        <f t="shared" si="16"/>
        <v/>
      </c>
      <c r="D1285" s="35" t="str">
        <f t="shared" si="17"/>
        <v/>
      </c>
      <c r="E1285" s="35" t="str">
        <f t="shared" si="18"/>
        <v/>
      </c>
      <c r="F1285" s="35" t="str">
        <f t="shared" si="19"/>
        <v/>
      </c>
      <c r="G1285" s="35" t="str">
        <f t="shared" si="20"/>
        <v/>
      </c>
      <c r="H1285" s="49"/>
      <c r="I1285" s="47" t="str">
        <f t="shared" si="21"/>
        <v/>
      </c>
      <c r="J1285" s="50"/>
      <c r="K1285" s="45" t="b">
        <v>0</v>
      </c>
      <c r="L1285" s="45"/>
      <c r="M1285" s="45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6"/>
      <c r="AH1285" s="26"/>
      <c r="AI1285" s="26"/>
      <c r="AJ1285" s="26"/>
      <c r="AK1285" s="2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46"/>
      <c r="BM1285" s="46"/>
      <c r="BN1285" s="46"/>
      <c r="BO1285" s="46"/>
    </row>
    <row r="1286">
      <c r="A1286" s="16" t="str">
        <f t="shared" si="14"/>
        <v/>
      </c>
      <c r="B1286" s="16" t="str">
        <f t="shared" si="15"/>
        <v/>
      </c>
      <c r="C1286" s="35" t="str">
        <f t="shared" si="16"/>
        <v/>
      </c>
      <c r="D1286" s="35" t="str">
        <f t="shared" si="17"/>
        <v/>
      </c>
      <c r="E1286" s="35" t="str">
        <f t="shared" si="18"/>
        <v/>
      </c>
      <c r="F1286" s="35" t="str">
        <f t="shared" si="19"/>
        <v/>
      </c>
      <c r="G1286" s="35" t="str">
        <f t="shared" si="20"/>
        <v/>
      </c>
      <c r="H1286" s="49"/>
      <c r="I1286" s="47" t="str">
        <f t="shared" si="21"/>
        <v/>
      </c>
      <c r="J1286" s="50"/>
      <c r="K1286" s="45" t="b">
        <v>0</v>
      </c>
      <c r="L1286" s="45"/>
      <c r="M1286" s="45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46"/>
      <c r="BM1286" s="46"/>
      <c r="BN1286" s="46"/>
      <c r="BO1286" s="46"/>
    </row>
    <row r="1287">
      <c r="A1287" s="16" t="str">
        <f t="shared" si="14"/>
        <v/>
      </c>
      <c r="B1287" s="16" t="str">
        <f t="shared" si="15"/>
        <v/>
      </c>
      <c r="C1287" s="35" t="str">
        <f t="shared" si="16"/>
        <v/>
      </c>
      <c r="D1287" s="35" t="str">
        <f t="shared" si="17"/>
        <v/>
      </c>
      <c r="E1287" s="35" t="str">
        <f t="shared" si="18"/>
        <v/>
      </c>
      <c r="F1287" s="35" t="str">
        <f t="shared" si="19"/>
        <v/>
      </c>
      <c r="G1287" s="35" t="str">
        <f t="shared" si="20"/>
        <v/>
      </c>
      <c r="H1287" s="49"/>
      <c r="I1287" s="47" t="str">
        <f t="shared" si="21"/>
        <v/>
      </c>
      <c r="J1287" s="50"/>
      <c r="K1287" s="45" t="b">
        <v>0</v>
      </c>
      <c r="L1287" s="45"/>
      <c r="M1287" s="45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6"/>
      <c r="AJ1287" s="26"/>
      <c r="AK1287" s="2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46"/>
      <c r="BM1287" s="46"/>
      <c r="BN1287" s="46"/>
      <c r="BO1287" s="46"/>
    </row>
    <row r="1288">
      <c r="A1288" s="16" t="str">
        <f t="shared" si="14"/>
        <v/>
      </c>
      <c r="B1288" s="16" t="str">
        <f t="shared" si="15"/>
        <v/>
      </c>
      <c r="C1288" s="35" t="str">
        <f t="shared" si="16"/>
        <v/>
      </c>
      <c r="D1288" s="35" t="str">
        <f t="shared" si="17"/>
        <v/>
      </c>
      <c r="E1288" s="35" t="str">
        <f t="shared" si="18"/>
        <v/>
      </c>
      <c r="F1288" s="35" t="str">
        <f t="shared" si="19"/>
        <v/>
      </c>
      <c r="G1288" s="35" t="str">
        <f t="shared" si="20"/>
        <v/>
      </c>
      <c r="H1288" s="49"/>
      <c r="I1288" s="47" t="str">
        <f t="shared" si="21"/>
        <v/>
      </c>
      <c r="J1288" s="50"/>
      <c r="K1288" s="45" t="b">
        <v>0</v>
      </c>
      <c r="L1288" s="45"/>
      <c r="M1288" s="45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6"/>
      <c r="AF1288" s="26"/>
      <c r="AG1288" s="26"/>
      <c r="AH1288" s="26"/>
      <c r="AI1288" s="26"/>
      <c r="AJ1288" s="26"/>
      <c r="AK1288" s="2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46"/>
      <c r="BM1288" s="46"/>
      <c r="BN1288" s="46"/>
      <c r="BO1288" s="46"/>
    </row>
    <row r="1289">
      <c r="A1289" s="16" t="str">
        <f t="shared" si="14"/>
        <v/>
      </c>
      <c r="B1289" s="16" t="str">
        <f t="shared" si="15"/>
        <v/>
      </c>
      <c r="C1289" s="35" t="str">
        <f t="shared" si="16"/>
        <v/>
      </c>
      <c r="D1289" s="35" t="str">
        <f t="shared" si="17"/>
        <v/>
      </c>
      <c r="E1289" s="35" t="str">
        <f t="shared" si="18"/>
        <v/>
      </c>
      <c r="F1289" s="35" t="str">
        <f t="shared" si="19"/>
        <v/>
      </c>
      <c r="G1289" s="35" t="str">
        <f t="shared" si="20"/>
        <v/>
      </c>
      <c r="H1289" s="49"/>
      <c r="I1289" s="47" t="str">
        <f t="shared" si="21"/>
        <v/>
      </c>
      <c r="J1289" s="50"/>
      <c r="K1289" s="45" t="b">
        <v>0</v>
      </c>
      <c r="L1289" s="45"/>
      <c r="M1289" s="45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6"/>
      <c r="AF1289" s="26"/>
      <c r="AG1289" s="26"/>
      <c r="AH1289" s="26"/>
      <c r="AI1289" s="26"/>
      <c r="AJ1289" s="26"/>
      <c r="AK1289" s="2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46"/>
      <c r="BM1289" s="46"/>
      <c r="BN1289" s="46"/>
      <c r="BO1289" s="46"/>
    </row>
    <row r="1290">
      <c r="A1290" s="16" t="str">
        <f t="shared" si="14"/>
        <v/>
      </c>
      <c r="B1290" s="16" t="str">
        <f t="shared" si="15"/>
        <v/>
      </c>
      <c r="C1290" s="35" t="str">
        <f t="shared" si="16"/>
        <v/>
      </c>
      <c r="D1290" s="35" t="str">
        <f t="shared" si="17"/>
        <v/>
      </c>
      <c r="E1290" s="35" t="str">
        <f t="shared" si="18"/>
        <v/>
      </c>
      <c r="F1290" s="35" t="str">
        <f t="shared" si="19"/>
        <v/>
      </c>
      <c r="G1290" s="35" t="str">
        <f t="shared" si="20"/>
        <v/>
      </c>
      <c r="H1290" s="49"/>
      <c r="I1290" s="47" t="str">
        <f t="shared" si="21"/>
        <v/>
      </c>
      <c r="J1290" s="50"/>
      <c r="K1290" s="45" t="b">
        <v>0</v>
      </c>
      <c r="L1290" s="45"/>
      <c r="M1290" s="45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26"/>
      <c r="AJ1290" s="26"/>
      <c r="AK1290" s="2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46"/>
      <c r="BM1290" s="46"/>
      <c r="BN1290" s="46"/>
      <c r="BO1290" s="46"/>
    </row>
    <row r="1291">
      <c r="A1291" s="16" t="str">
        <f t="shared" si="14"/>
        <v/>
      </c>
      <c r="B1291" s="16" t="str">
        <f t="shared" si="15"/>
        <v/>
      </c>
      <c r="C1291" s="35" t="str">
        <f t="shared" si="16"/>
        <v/>
      </c>
      <c r="D1291" s="35" t="str">
        <f t="shared" si="17"/>
        <v/>
      </c>
      <c r="E1291" s="35" t="str">
        <f t="shared" si="18"/>
        <v/>
      </c>
      <c r="F1291" s="35" t="str">
        <f t="shared" si="19"/>
        <v/>
      </c>
      <c r="G1291" s="35" t="str">
        <f t="shared" si="20"/>
        <v/>
      </c>
      <c r="H1291" s="49"/>
      <c r="I1291" s="47" t="str">
        <f t="shared" si="21"/>
        <v/>
      </c>
      <c r="J1291" s="50"/>
      <c r="K1291" s="45" t="b">
        <v>0</v>
      </c>
      <c r="L1291" s="45"/>
      <c r="M1291" s="45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46"/>
      <c r="BM1291" s="46"/>
      <c r="BN1291" s="46"/>
      <c r="BO1291" s="46"/>
    </row>
    <row r="1292">
      <c r="A1292" s="16" t="str">
        <f t="shared" si="14"/>
        <v/>
      </c>
      <c r="B1292" s="16" t="str">
        <f t="shared" si="15"/>
        <v/>
      </c>
      <c r="C1292" s="35" t="str">
        <f t="shared" si="16"/>
        <v/>
      </c>
      <c r="D1292" s="35" t="str">
        <f t="shared" si="17"/>
        <v/>
      </c>
      <c r="E1292" s="35" t="str">
        <f t="shared" si="18"/>
        <v/>
      </c>
      <c r="F1292" s="35" t="str">
        <f t="shared" si="19"/>
        <v/>
      </c>
      <c r="G1292" s="35" t="str">
        <f t="shared" si="20"/>
        <v/>
      </c>
      <c r="H1292" s="49"/>
      <c r="I1292" s="47" t="str">
        <f t="shared" si="21"/>
        <v/>
      </c>
      <c r="J1292" s="50"/>
      <c r="K1292" s="45" t="b">
        <v>0</v>
      </c>
      <c r="L1292" s="45"/>
      <c r="M1292" s="45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46"/>
      <c r="BM1292" s="46"/>
      <c r="BN1292" s="46"/>
      <c r="BO1292" s="46"/>
    </row>
    <row r="1293">
      <c r="A1293" s="16" t="str">
        <f t="shared" si="14"/>
        <v/>
      </c>
      <c r="B1293" s="16" t="str">
        <f t="shared" si="15"/>
        <v/>
      </c>
      <c r="C1293" s="35" t="str">
        <f t="shared" si="16"/>
        <v/>
      </c>
      <c r="D1293" s="35" t="str">
        <f t="shared" si="17"/>
        <v/>
      </c>
      <c r="E1293" s="35" t="str">
        <f t="shared" si="18"/>
        <v/>
      </c>
      <c r="F1293" s="35" t="str">
        <f t="shared" si="19"/>
        <v/>
      </c>
      <c r="G1293" s="35" t="str">
        <f t="shared" si="20"/>
        <v/>
      </c>
      <c r="H1293" s="49"/>
      <c r="I1293" s="47" t="str">
        <f t="shared" si="21"/>
        <v/>
      </c>
      <c r="J1293" s="50"/>
      <c r="K1293" s="45" t="b">
        <v>0</v>
      </c>
      <c r="L1293" s="45"/>
      <c r="M1293" s="45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46"/>
      <c r="BM1293" s="46"/>
      <c r="BN1293" s="46"/>
      <c r="BO1293" s="46"/>
    </row>
    <row r="1294">
      <c r="A1294" s="16" t="str">
        <f t="shared" si="14"/>
        <v/>
      </c>
      <c r="B1294" s="16" t="str">
        <f t="shared" si="15"/>
        <v/>
      </c>
      <c r="C1294" s="35" t="str">
        <f t="shared" si="16"/>
        <v/>
      </c>
      <c r="D1294" s="35" t="str">
        <f t="shared" si="17"/>
        <v/>
      </c>
      <c r="E1294" s="35" t="str">
        <f t="shared" si="18"/>
        <v/>
      </c>
      <c r="F1294" s="35" t="str">
        <f t="shared" si="19"/>
        <v/>
      </c>
      <c r="G1294" s="35" t="str">
        <f t="shared" si="20"/>
        <v/>
      </c>
      <c r="H1294" s="49"/>
      <c r="I1294" s="47" t="str">
        <f t="shared" si="21"/>
        <v/>
      </c>
      <c r="J1294" s="50"/>
      <c r="K1294" s="45" t="b">
        <v>0</v>
      </c>
      <c r="L1294" s="45"/>
      <c r="M1294" s="45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  <c r="BI1294" s="46"/>
      <c r="BJ1294" s="46"/>
      <c r="BK1294" s="46"/>
      <c r="BL1294" s="46"/>
      <c r="BM1294" s="46"/>
      <c r="BN1294" s="46"/>
      <c r="BO1294" s="46"/>
    </row>
    <row r="1295">
      <c r="A1295" s="16" t="str">
        <f t="shared" si="14"/>
        <v/>
      </c>
      <c r="B1295" s="16" t="str">
        <f t="shared" si="15"/>
        <v/>
      </c>
      <c r="C1295" s="35" t="str">
        <f t="shared" si="16"/>
        <v/>
      </c>
      <c r="D1295" s="35" t="str">
        <f t="shared" si="17"/>
        <v/>
      </c>
      <c r="E1295" s="35" t="str">
        <f t="shared" si="18"/>
        <v/>
      </c>
      <c r="F1295" s="35" t="str">
        <f t="shared" si="19"/>
        <v/>
      </c>
      <c r="G1295" s="35" t="str">
        <f t="shared" si="20"/>
        <v/>
      </c>
      <c r="H1295" s="49"/>
      <c r="I1295" s="47" t="str">
        <f t="shared" si="21"/>
        <v/>
      </c>
      <c r="J1295" s="50"/>
      <c r="K1295" s="45" t="b">
        <v>0</v>
      </c>
      <c r="L1295" s="45"/>
      <c r="M1295" s="45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46"/>
      <c r="BM1295" s="46"/>
      <c r="BN1295" s="46"/>
      <c r="BO1295" s="46"/>
    </row>
    <row r="1296">
      <c r="A1296" s="16" t="str">
        <f t="shared" si="14"/>
        <v/>
      </c>
      <c r="B1296" s="16" t="str">
        <f t="shared" si="15"/>
        <v/>
      </c>
      <c r="C1296" s="35" t="str">
        <f t="shared" si="16"/>
        <v/>
      </c>
      <c r="D1296" s="35" t="str">
        <f t="shared" si="17"/>
        <v/>
      </c>
      <c r="E1296" s="35" t="str">
        <f t="shared" si="18"/>
        <v/>
      </c>
      <c r="F1296" s="35" t="str">
        <f t="shared" si="19"/>
        <v/>
      </c>
      <c r="G1296" s="35" t="str">
        <f t="shared" si="20"/>
        <v/>
      </c>
      <c r="H1296" s="49"/>
      <c r="I1296" s="47" t="str">
        <f t="shared" si="21"/>
        <v/>
      </c>
      <c r="J1296" s="50"/>
      <c r="K1296" s="45" t="b">
        <v>0</v>
      </c>
      <c r="L1296" s="45"/>
      <c r="M1296" s="45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46"/>
      <c r="BM1296" s="46"/>
      <c r="BN1296" s="46"/>
      <c r="BO1296" s="46"/>
    </row>
    <row r="1297">
      <c r="A1297" s="16" t="str">
        <f t="shared" si="14"/>
        <v/>
      </c>
      <c r="B1297" s="16" t="str">
        <f t="shared" si="15"/>
        <v/>
      </c>
      <c r="C1297" s="35" t="str">
        <f t="shared" si="16"/>
        <v/>
      </c>
      <c r="D1297" s="35" t="str">
        <f t="shared" si="17"/>
        <v/>
      </c>
      <c r="E1297" s="35" t="str">
        <f t="shared" si="18"/>
        <v/>
      </c>
      <c r="F1297" s="35" t="str">
        <f t="shared" si="19"/>
        <v/>
      </c>
      <c r="G1297" s="35" t="str">
        <f t="shared" si="20"/>
        <v/>
      </c>
      <c r="H1297" s="49"/>
      <c r="I1297" s="47" t="str">
        <f t="shared" si="21"/>
        <v/>
      </c>
      <c r="J1297" s="50"/>
      <c r="K1297" s="45" t="b">
        <v>0</v>
      </c>
      <c r="L1297" s="45"/>
      <c r="M1297" s="45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6"/>
      <c r="AF1297" s="26"/>
      <c r="AG1297" s="26"/>
      <c r="AH1297" s="26"/>
      <c r="AI1297" s="26"/>
      <c r="AJ1297" s="26"/>
      <c r="AK1297" s="2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46"/>
      <c r="BM1297" s="46"/>
      <c r="BN1297" s="46"/>
      <c r="BO1297" s="46"/>
    </row>
    <row r="1298">
      <c r="A1298" s="16" t="str">
        <f t="shared" si="14"/>
        <v/>
      </c>
      <c r="B1298" s="16" t="str">
        <f t="shared" si="15"/>
        <v/>
      </c>
      <c r="C1298" s="35" t="str">
        <f t="shared" si="16"/>
        <v/>
      </c>
      <c r="D1298" s="35" t="str">
        <f t="shared" si="17"/>
        <v/>
      </c>
      <c r="E1298" s="35" t="str">
        <f t="shared" si="18"/>
        <v/>
      </c>
      <c r="F1298" s="35" t="str">
        <f t="shared" si="19"/>
        <v/>
      </c>
      <c r="G1298" s="35" t="str">
        <f t="shared" si="20"/>
        <v/>
      </c>
      <c r="H1298" s="49"/>
      <c r="I1298" s="47" t="str">
        <f t="shared" si="21"/>
        <v/>
      </c>
      <c r="J1298" s="50"/>
      <c r="K1298" s="45" t="b">
        <v>0</v>
      </c>
      <c r="L1298" s="45"/>
      <c r="M1298" s="45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6"/>
      <c r="AF1298" s="26"/>
      <c r="AG1298" s="26"/>
      <c r="AH1298" s="26"/>
      <c r="AI1298" s="26"/>
      <c r="AJ1298" s="26"/>
      <c r="AK1298" s="2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46"/>
      <c r="BM1298" s="46"/>
      <c r="BN1298" s="46"/>
      <c r="BO1298" s="46"/>
    </row>
    <row r="1299">
      <c r="A1299" s="16" t="str">
        <f t="shared" si="14"/>
        <v/>
      </c>
      <c r="B1299" s="16" t="str">
        <f t="shared" si="15"/>
        <v/>
      </c>
      <c r="C1299" s="35" t="str">
        <f t="shared" si="16"/>
        <v/>
      </c>
      <c r="D1299" s="35" t="str">
        <f t="shared" si="17"/>
        <v/>
      </c>
      <c r="E1299" s="35" t="str">
        <f t="shared" si="18"/>
        <v/>
      </c>
      <c r="F1299" s="35" t="str">
        <f t="shared" si="19"/>
        <v/>
      </c>
      <c r="G1299" s="35" t="str">
        <f t="shared" si="20"/>
        <v/>
      </c>
      <c r="H1299" s="49"/>
      <c r="I1299" s="47" t="str">
        <f t="shared" si="21"/>
        <v/>
      </c>
      <c r="J1299" s="50"/>
      <c r="K1299" s="45" t="b">
        <v>0</v>
      </c>
      <c r="L1299" s="45"/>
      <c r="M1299" s="45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46"/>
      <c r="BM1299" s="46"/>
      <c r="BN1299" s="46"/>
      <c r="BO1299" s="46"/>
    </row>
    <row r="1300">
      <c r="A1300" s="16" t="str">
        <f t="shared" si="14"/>
        <v/>
      </c>
      <c r="B1300" s="16" t="str">
        <f t="shared" si="15"/>
        <v/>
      </c>
      <c r="C1300" s="35" t="str">
        <f t="shared" si="16"/>
        <v/>
      </c>
      <c r="D1300" s="35" t="str">
        <f t="shared" si="17"/>
        <v/>
      </c>
      <c r="E1300" s="35" t="str">
        <f t="shared" si="18"/>
        <v/>
      </c>
      <c r="F1300" s="35" t="str">
        <f t="shared" si="19"/>
        <v/>
      </c>
      <c r="G1300" s="35" t="str">
        <f t="shared" si="20"/>
        <v/>
      </c>
      <c r="H1300" s="49"/>
      <c r="I1300" s="47" t="str">
        <f t="shared" si="21"/>
        <v/>
      </c>
      <c r="J1300" s="50"/>
      <c r="K1300" s="45" t="b">
        <v>0</v>
      </c>
      <c r="L1300" s="45"/>
      <c r="M1300" s="45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46"/>
      <c r="BM1300" s="46"/>
      <c r="BN1300" s="46"/>
      <c r="BO1300" s="46"/>
    </row>
    <row r="1301">
      <c r="A1301" s="16" t="str">
        <f t="shared" si="14"/>
        <v/>
      </c>
      <c r="B1301" s="16" t="str">
        <f t="shared" si="15"/>
        <v/>
      </c>
      <c r="C1301" s="35" t="str">
        <f t="shared" si="16"/>
        <v/>
      </c>
      <c r="D1301" s="35" t="str">
        <f t="shared" si="17"/>
        <v/>
      </c>
      <c r="E1301" s="35" t="str">
        <f t="shared" si="18"/>
        <v/>
      </c>
      <c r="F1301" s="35" t="str">
        <f t="shared" si="19"/>
        <v/>
      </c>
      <c r="G1301" s="35" t="str">
        <f t="shared" si="20"/>
        <v/>
      </c>
      <c r="H1301" s="49"/>
      <c r="I1301" s="47" t="str">
        <f t="shared" si="21"/>
        <v/>
      </c>
      <c r="J1301" s="50"/>
      <c r="K1301" s="45" t="b">
        <v>0</v>
      </c>
      <c r="L1301" s="45"/>
      <c r="M1301" s="45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46"/>
      <c r="BM1301" s="46"/>
      <c r="BN1301" s="46"/>
      <c r="BO1301" s="46"/>
    </row>
    <row r="1302">
      <c r="A1302" s="16" t="str">
        <f t="shared" si="14"/>
        <v/>
      </c>
      <c r="B1302" s="16" t="str">
        <f t="shared" si="15"/>
        <v/>
      </c>
      <c r="C1302" s="35" t="str">
        <f t="shared" si="16"/>
        <v/>
      </c>
      <c r="D1302" s="35" t="str">
        <f t="shared" si="17"/>
        <v/>
      </c>
      <c r="E1302" s="35" t="str">
        <f t="shared" si="18"/>
        <v/>
      </c>
      <c r="F1302" s="35" t="str">
        <f t="shared" si="19"/>
        <v/>
      </c>
      <c r="G1302" s="35" t="str">
        <f t="shared" si="20"/>
        <v/>
      </c>
      <c r="H1302" s="49"/>
      <c r="I1302" s="47" t="str">
        <f t="shared" si="21"/>
        <v/>
      </c>
      <c r="J1302" s="50"/>
      <c r="K1302" s="45" t="b">
        <v>0</v>
      </c>
      <c r="L1302" s="45"/>
      <c r="M1302" s="45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6"/>
      <c r="AF1302" s="26"/>
      <c r="AG1302" s="26"/>
      <c r="AH1302" s="26"/>
      <c r="AI1302" s="26"/>
      <c r="AJ1302" s="26"/>
      <c r="AK1302" s="2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/>
    </row>
    <row r="1303">
      <c r="A1303" s="16" t="str">
        <f t="shared" si="14"/>
        <v/>
      </c>
      <c r="B1303" s="16" t="str">
        <f t="shared" si="15"/>
        <v/>
      </c>
      <c r="C1303" s="35" t="str">
        <f t="shared" si="16"/>
        <v/>
      </c>
      <c r="D1303" s="35" t="str">
        <f t="shared" si="17"/>
        <v/>
      </c>
      <c r="E1303" s="35" t="str">
        <f t="shared" si="18"/>
        <v/>
      </c>
      <c r="F1303" s="35" t="str">
        <f t="shared" si="19"/>
        <v/>
      </c>
      <c r="G1303" s="35" t="str">
        <f t="shared" si="20"/>
        <v/>
      </c>
      <c r="H1303" s="49"/>
      <c r="I1303" s="47" t="str">
        <f t="shared" si="21"/>
        <v/>
      </c>
      <c r="J1303" s="50"/>
      <c r="K1303" s="45" t="b">
        <v>0</v>
      </c>
      <c r="L1303" s="45"/>
      <c r="M1303" s="45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6"/>
      <c r="AI1303" s="26"/>
      <c r="AJ1303" s="26"/>
      <c r="AK1303" s="2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46"/>
      <c r="BM1303" s="46"/>
      <c r="BN1303" s="46"/>
      <c r="BO1303" s="46"/>
    </row>
    <row r="1304">
      <c r="A1304" s="16" t="str">
        <f t="shared" si="14"/>
        <v/>
      </c>
      <c r="B1304" s="16" t="str">
        <f t="shared" si="15"/>
        <v/>
      </c>
      <c r="C1304" s="35" t="str">
        <f t="shared" si="16"/>
        <v/>
      </c>
      <c r="D1304" s="35" t="str">
        <f t="shared" si="17"/>
        <v/>
      </c>
      <c r="E1304" s="35" t="str">
        <f t="shared" si="18"/>
        <v/>
      </c>
      <c r="F1304" s="35" t="str">
        <f t="shared" si="19"/>
        <v/>
      </c>
      <c r="G1304" s="35" t="str">
        <f t="shared" si="20"/>
        <v/>
      </c>
      <c r="H1304" s="49"/>
      <c r="I1304" s="47" t="str">
        <f t="shared" si="21"/>
        <v/>
      </c>
      <c r="J1304" s="50"/>
      <c r="K1304" s="45" t="b">
        <v>0</v>
      </c>
      <c r="L1304" s="45"/>
      <c r="M1304" s="45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  <c r="AD1304" s="26"/>
      <c r="AE1304" s="26"/>
      <c r="AF1304" s="26"/>
      <c r="AG1304" s="26"/>
      <c r="AH1304" s="26"/>
      <c r="AI1304" s="26"/>
      <c r="AJ1304" s="26"/>
      <c r="AK1304" s="2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46"/>
      <c r="BM1304" s="46"/>
      <c r="BN1304" s="46"/>
      <c r="BO1304" s="46"/>
    </row>
    <row r="1305">
      <c r="A1305" s="16" t="str">
        <f t="shared" si="14"/>
        <v/>
      </c>
      <c r="B1305" s="16" t="str">
        <f t="shared" si="15"/>
        <v/>
      </c>
      <c r="C1305" s="35" t="str">
        <f t="shared" si="16"/>
        <v/>
      </c>
      <c r="D1305" s="35" t="str">
        <f t="shared" si="17"/>
        <v/>
      </c>
      <c r="E1305" s="35" t="str">
        <f t="shared" si="18"/>
        <v/>
      </c>
      <c r="F1305" s="35" t="str">
        <f t="shared" si="19"/>
        <v/>
      </c>
      <c r="G1305" s="35" t="str">
        <f t="shared" si="20"/>
        <v/>
      </c>
      <c r="H1305" s="49"/>
      <c r="I1305" s="47" t="str">
        <f t="shared" si="21"/>
        <v/>
      </c>
      <c r="J1305" s="50"/>
      <c r="K1305" s="45" t="b">
        <v>0</v>
      </c>
      <c r="L1305" s="45"/>
      <c r="M1305" s="45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  <c r="AD1305" s="26"/>
      <c r="AE1305" s="26"/>
      <c r="AF1305" s="26"/>
      <c r="AG1305" s="26"/>
      <c r="AH1305" s="26"/>
      <c r="AI1305" s="26"/>
      <c r="AJ1305" s="26"/>
      <c r="AK1305" s="2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46"/>
      <c r="BM1305" s="46"/>
      <c r="BN1305" s="46"/>
      <c r="BO1305" s="46"/>
    </row>
    <row r="1306">
      <c r="A1306" s="16" t="str">
        <f t="shared" si="14"/>
        <v/>
      </c>
      <c r="B1306" s="16" t="str">
        <f t="shared" si="15"/>
        <v/>
      </c>
      <c r="C1306" s="35" t="str">
        <f t="shared" si="16"/>
        <v/>
      </c>
      <c r="D1306" s="35" t="str">
        <f t="shared" si="17"/>
        <v/>
      </c>
      <c r="E1306" s="35" t="str">
        <f t="shared" si="18"/>
        <v/>
      </c>
      <c r="F1306" s="35" t="str">
        <f t="shared" si="19"/>
        <v/>
      </c>
      <c r="G1306" s="35" t="str">
        <f t="shared" si="20"/>
        <v/>
      </c>
      <c r="H1306" s="49"/>
      <c r="I1306" s="47" t="str">
        <f t="shared" si="21"/>
        <v/>
      </c>
      <c r="J1306" s="50"/>
      <c r="K1306" s="45" t="b">
        <v>0</v>
      </c>
      <c r="L1306" s="45"/>
      <c r="M1306" s="45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6"/>
      <c r="AJ1306" s="26"/>
      <c r="AK1306" s="2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46"/>
      <c r="BM1306" s="46"/>
      <c r="BN1306" s="46"/>
      <c r="BO1306" s="46"/>
    </row>
    <row r="1307">
      <c r="A1307" s="16" t="str">
        <f t="shared" si="14"/>
        <v/>
      </c>
      <c r="B1307" s="16" t="str">
        <f t="shared" si="15"/>
        <v/>
      </c>
      <c r="C1307" s="35" t="str">
        <f t="shared" si="16"/>
        <v/>
      </c>
      <c r="D1307" s="35" t="str">
        <f t="shared" si="17"/>
        <v/>
      </c>
      <c r="E1307" s="35" t="str">
        <f t="shared" si="18"/>
        <v/>
      </c>
      <c r="F1307" s="35" t="str">
        <f t="shared" si="19"/>
        <v/>
      </c>
      <c r="G1307" s="35" t="str">
        <f t="shared" si="20"/>
        <v/>
      </c>
      <c r="H1307" s="49"/>
      <c r="I1307" s="47" t="str">
        <f t="shared" si="21"/>
        <v/>
      </c>
      <c r="J1307" s="50"/>
      <c r="K1307" s="45" t="b">
        <v>0</v>
      </c>
      <c r="L1307" s="45"/>
      <c r="M1307" s="45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  <c r="AD1307" s="26"/>
      <c r="AE1307" s="26"/>
      <c r="AF1307" s="26"/>
      <c r="AG1307" s="26"/>
      <c r="AH1307" s="26"/>
      <c r="AI1307" s="26"/>
      <c r="AJ1307" s="26"/>
      <c r="AK1307" s="2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46"/>
      <c r="BM1307" s="46"/>
      <c r="BN1307" s="46"/>
      <c r="BO1307" s="46"/>
    </row>
    <row r="1308">
      <c r="A1308" s="16" t="str">
        <f t="shared" si="14"/>
        <v/>
      </c>
      <c r="B1308" s="16" t="str">
        <f t="shared" si="15"/>
        <v/>
      </c>
      <c r="C1308" s="35" t="str">
        <f t="shared" si="16"/>
        <v/>
      </c>
      <c r="D1308" s="35" t="str">
        <f t="shared" si="17"/>
        <v/>
      </c>
      <c r="E1308" s="35" t="str">
        <f t="shared" si="18"/>
        <v/>
      </c>
      <c r="F1308" s="35" t="str">
        <f t="shared" si="19"/>
        <v/>
      </c>
      <c r="G1308" s="35" t="str">
        <f t="shared" si="20"/>
        <v/>
      </c>
      <c r="H1308" s="49"/>
      <c r="I1308" s="47" t="str">
        <f t="shared" si="21"/>
        <v/>
      </c>
      <c r="J1308" s="50"/>
      <c r="K1308" s="45" t="b">
        <v>0</v>
      </c>
      <c r="L1308" s="45"/>
      <c r="M1308" s="45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  <c r="AD1308" s="26"/>
      <c r="AE1308" s="26"/>
      <c r="AF1308" s="26"/>
      <c r="AG1308" s="26"/>
      <c r="AH1308" s="26"/>
      <c r="AI1308" s="26"/>
      <c r="AJ1308" s="26"/>
      <c r="AK1308" s="2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46"/>
      <c r="BM1308" s="46"/>
      <c r="BN1308" s="46"/>
      <c r="BO1308" s="46"/>
    </row>
    <row r="1309">
      <c r="A1309" s="16" t="str">
        <f t="shared" si="14"/>
        <v/>
      </c>
      <c r="B1309" s="16" t="str">
        <f t="shared" si="15"/>
        <v/>
      </c>
      <c r="C1309" s="35" t="str">
        <f t="shared" si="16"/>
        <v/>
      </c>
      <c r="D1309" s="35" t="str">
        <f t="shared" si="17"/>
        <v/>
      </c>
      <c r="E1309" s="35" t="str">
        <f t="shared" si="18"/>
        <v/>
      </c>
      <c r="F1309" s="35" t="str">
        <f t="shared" si="19"/>
        <v/>
      </c>
      <c r="G1309" s="35" t="str">
        <f t="shared" si="20"/>
        <v/>
      </c>
      <c r="H1309" s="49"/>
      <c r="I1309" s="47" t="str">
        <f t="shared" si="21"/>
        <v/>
      </c>
      <c r="J1309" s="50"/>
      <c r="K1309" s="45" t="b">
        <v>0</v>
      </c>
      <c r="L1309" s="45"/>
      <c r="M1309" s="45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  <c r="AD1309" s="26"/>
      <c r="AE1309" s="26"/>
      <c r="AF1309" s="26"/>
      <c r="AG1309" s="26"/>
      <c r="AH1309" s="26"/>
      <c r="AI1309" s="26"/>
      <c r="AJ1309" s="26"/>
      <c r="AK1309" s="2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/>
      <c r="BJ1309" s="46"/>
      <c r="BK1309" s="46"/>
      <c r="BL1309" s="46"/>
      <c r="BM1309" s="46"/>
      <c r="BN1309" s="46"/>
      <c r="BO1309" s="46"/>
    </row>
    <row r="1310">
      <c r="A1310" s="16" t="str">
        <f t="shared" si="14"/>
        <v/>
      </c>
      <c r="B1310" s="16" t="str">
        <f t="shared" si="15"/>
        <v/>
      </c>
      <c r="C1310" s="35" t="str">
        <f t="shared" si="16"/>
        <v/>
      </c>
      <c r="D1310" s="35" t="str">
        <f t="shared" si="17"/>
        <v/>
      </c>
      <c r="E1310" s="35" t="str">
        <f t="shared" si="18"/>
        <v/>
      </c>
      <c r="F1310" s="35" t="str">
        <f t="shared" si="19"/>
        <v/>
      </c>
      <c r="G1310" s="35" t="str">
        <f t="shared" si="20"/>
        <v/>
      </c>
      <c r="H1310" s="49"/>
      <c r="I1310" s="47" t="str">
        <f t="shared" si="21"/>
        <v/>
      </c>
      <c r="J1310" s="50"/>
      <c r="K1310" s="45" t="b">
        <v>0</v>
      </c>
      <c r="L1310" s="45"/>
      <c r="M1310" s="45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  <c r="AD1310" s="26"/>
      <c r="AE1310" s="26"/>
      <c r="AF1310" s="26"/>
      <c r="AG1310" s="26"/>
      <c r="AH1310" s="26"/>
      <c r="AI1310" s="26"/>
      <c r="AJ1310" s="26"/>
      <c r="AK1310" s="2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46"/>
      <c r="BM1310" s="46"/>
      <c r="BN1310" s="46"/>
      <c r="BO1310" s="46"/>
    </row>
    <row r="1311">
      <c r="A1311" s="16" t="str">
        <f t="shared" si="14"/>
        <v/>
      </c>
      <c r="B1311" s="16" t="str">
        <f t="shared" si="15"/>
        <v/>
      </c>
      <c r="C1311" s="35" t="str">
        <f t="shared" si="16"/>
        <v/>
      </c>
      <c r="D1311" s="35" t="str">
        <f t="shared" si="17"/>
        <v/>
      </c>
      <c r="E1311" s="35" t="str">
        <f t="shared" si="18"/>
        <v/>
      </c>
      <c r="F1311" s="35" t="str">
        <f t="shared" si="19"/>
        <v/>
      </c>
      <c r="G1311" s="35" t="str">
        <f t="shared" si="20"/>
        <v/>
      </c>
      <c r="H1311" s="49"/>
      <c r="I1311" s="47" t="str">
        <f t="shared" si="21"/>
        <v/>
      </c>
      <c r="J1311" s="50"/>
      <c r="K1311" s="45" t="b">
        <v>0</v>
      </c>
      <c r="L1311" s="45"/>
      <c r="M1311" s="45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  <c r="BI1311" s="46"/>
      <c r="BJ1311" s="46"/>
      <c r="BK1311" s="46"/>
      <c r="BL1311" s="46"/>
      <c r="BM1311" s="46"/>
      <c r="BN1311" s="46"/>
      <c r="BO1311" s="46"/>
    </row>
    <row r="1312">
      <c r="A1312" s="16" t="str">
        <f t="shared" si="14"/>
        <v/>
      </c>
      <c r="B1312" s="16" t="str">
        <f t="shared" si="15"/>
        <v/>
      </c>
      <c r="C1312" s="35" t="str">
        <f t="shared" si="16"/>
        <v/>
      </c>
      <c r="D1312" s="35" t="str">
        <f t="shared" si="17"/>
        <v/>
      </c>
      <c r="E1312" s="35" t="str">
        <f t="shared" si="18"/>
        <v/>
      </c>
      <c r="F1312" s="35" t="str">
        <f t="shared" si="19"/>
        <v/>
      </c>
      <c r="G1312" s="35" t="str">
        <f t="shared" si="20"/>
        <v/>
      </c>
      <c r="H1312" s="49"/>
      <c r="I1312" s="47" t="str">
        <f t="shared" si="21"/>
        <v/>
      </c>
      <c r="J1312" s="50"/>
      <c r="K1312" s="45" t="b">
        <v>0</v>
      </c>
      <c r="L1312" s="45"/>
      <c r="M1312" s="45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  <c r="AD1312" s="26"/>
      <c r="AE1312" s="26"/>
      <c r="AF1312" s="26"/>
      <c r="AG1312" s="26"/>
      <c r="AH1312" s="26"/>
      <c r="AI1312" s="26"/>
      <c r="AJ1312" s="26"/>
      <c r="AK1312" s="2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46"/>
      <c r="BM1312" s="46"/>
      <c r="BN1312" s="46"/>
      <c r="BO1312" s="46"/>
    </row>
    <row r="1313">
      <c r="A1313" s="16" t="str">
        <f t="shared" si="14"/>
        <v/>
      </c>
      <c r="B1313" s="16" t="str">
        <f t="shared" si="15"/>
        <v/>
      </c>
      <c r="C1313" s="35" t="str">
        <f t="shared" si="16"/>
        <v/>
      </c>
      <c r="D1313" s="35" t="str">
        <f t="shared" si="17"/>
        <v/>
      </c>
      <c r="E1313" s="35" t="str">
        <f t="shared" si="18"/>
        <v/>
      </c>
      <c r="F1313" s="35" t="str">
        <f t="shared" si="19"/>
        <v/>
      </c>
      <c r="G1313" s="35" t="str">
        <f t="shared" si="20"/>
        <v/>
      </c>
      <c r="H1313" s="49"/>
      <c r="I1313" s="47" t="str">
        <f t="shared" si="21"/>
        <v/>
      </c>
      <c r="J1313" s="50"/>
      <c r="K1313" s="45" t="b">
        <v>0</v>
      </c>
      <c r="L1313" s="45"/>
      <c r="M1313" s="45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46"/>
      <c r="BM1313" s="46"/>
      <c r="BN1313" s="46"/>
      <c r="BO1313" s="46"/>
    </row>
    <row r="1314">
      <c r="A1314" s="16" t="str">
        <f t="shared" si="14"/>
        <v/>
      </c>
      <c r="B1314" s="16" t="str">
        <f t="shared" si="15"/>
        <v/>
      </c>
      <c r="C1314" s="35" t="str">
        <f t="shared" si="16"/>
        <v/>
      </c>
      <c r="D1314" s="35" t="str">
        <f t="shared" si="17"/>
        <v/>
      </c>
      <c r="E1314" s="35" t="str">
        <f t="shared" si="18"/>
        <v/>
      </c>
      <c r="F1314" s="35" t="str">
        <f t="shared" si="19"/>
        <v/>
      </c>
      <c r="G1314" s="35" t="str">
        <f t="shared" si="20"/>
        <v/>
      </c>
      <c r="H1314" s="49"/>
      <c r="I1314" s="47" t="str">
        <f t="shared" si="21"/>
        <v/>
      </c>
      <c r="J1314" s="50"/>
      <c r="K1314" s="45" t="b">
        <v>0</v>
      </c>
      <c r="L1314" s="45"/>
      <c r="M1314" s="45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/>
    </row>
    <row r="1315">
      <c r="A1315" s="16" t="str">
        <f t="shared" si="14"/>
        <v/>
      </c>
      <c r="B1315" s="16" t="str">
        <f t="shared" si="15"/>
        <v/>
      </c>
      <c r="C1315" s="35" t="str">
        <f t="shared" si="16"/>
        <v/>
      </c>
      <c r="D1315" s="35" t="str">
        <f t="shared" si="17"/>
        <v/>
      </c>
      <c r="E1315" s="35" t="str">
        <f t="shared" si="18"/>
        <v/>
      </c>
      <c r="F1315" s="35" t="str">
        <f t="shared" si="19"/>
        <v/>
      </c>
      <c r="G1315" s="35" t="str">
        <f t="shared" si="20"/>
        <v/>
      </c>
      <c r="H1315" s="49"/>
      <c r="I1315" s="47" t="str">
        <f t="shared" si="21"/>
        <v/>
      </c>
      <c r="J1315" s="50"/>
      <c r="K1315" s="45" t="b">
        <v>0</v>
      </c>
      <c r="L1315" s="45"/>
      <c r="M1315" s="45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46"/>
      <c r="BM1315" s="46"/>
      <c r="BN1315" s="46"/>
      <c r="BO1315" s="46"/>
    </row>
    <row r="1316">
      <c r="A1316" s="16" t="str">
        <f t="shared" si="14"/>
        <v/>
      </c>
      <c r="B1316" s="16" t="str">
        <f t="shared" si="15"/>
        <v/>
      </c>
      <c r="C1316" s="35" t="str">
        <f t="shared" si="16"/>
        <v/>
      </c>
      <c r="D1316" s="35" t="str">
        <f t="shared" si="17"/>
        <v/>
      </c>
      <c r="E1316" s="35" t="str">
        <f t="shared" si="18"/>
        <v/>
      </c>
      <c r="F1316" s="35" t="str">
        <f t="shared" si="19"/>
        <v/>
      </c>
      <c r="G1316" s="35" t="str">
        <f t="shared" si="20"/>
        <v/>
      </c>
      <c r="H1316" s="49"/>
      <c r="I1316" s="47" t="str">
        <f t="shared" si="21"/>
        <v/>
      </c>
      <c r="J1316" s="50"/>
      <c r="K1316" s="45" t="b">
        <v>0</v>
      </c>
      <c r="L1316" s="45"/>
      <c r="M1316" s="45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6"/>
      <c r="AF1316" s="26"/>
      <c r="AG1316" s="26"/>
      <c r="AH1316" s="26"/>
      <c r="AI1316" s="26"/>
      <c r="AJ1316" s="26"/>
      <c r="AK1316" s="2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46"/>
      <c r="BM1316" s="46"/>
      <c r="BN1316" s="46"/>
      <c r="BO1316" s="46"/>
    </row>
    <row r="1317">
      <c r="A1317" s="16" t="str">
        <f t="shared" si="14"/>
        <v/>
      </c>
      <c r="B1317" s="16" t="str">
        <f t="shared" si="15"/>
        <v/>
      </c>
      <c r="C1317" s="35" t="str">
        <f t="shared" si="16"/>
        <v/>
      </c>
      <c r="D1317" s="35" t="str">
        <f t="shared" si="17"/>
        <v/>
      </c>
      <c r="E1317" s="35" t="str">
        <f t="shared" si="18"/>
        <v/>
      </c>
      <c r="F1317" s="35" t="str">
        <f t="shared" si="19"/>
        <v/>
      </c>
      <c r="G1317" s="35" t="str">
        <f t="shared" si="20"/>
        <v/>
      </c>
      <c r="H1317" s="49"/>
      <c r="I1317" s="47" t="str">
        <f t="shared" si="21"/>
        <v/>
      </c>
      <c r="J1317" s="50"/>
      <c r="K1317" s="45" t="b">
        <v>0</v>
      </c>
      <c r="L1317" s="45"/>
      <c r="M1317" s="45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6"/>
      <c r="AF1317" s="26"/>
      <c r="AG1317" s="26"/>
      <c r="AH1317" s="26"/>
      <c r="AI1317" s="26"/>
      <c r="AJ1317" s="26"/>
      <c r="AK1317" s="2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</row>
    <row r="1318">
      <c r="A1318" s="16" t="str">
        <f t="shared" si="14"/>
        <v/>
      </c>
      <c r="B1318" s="16" t="str">
        <f t="shared" si="15"/>
        <v/>
      </c>
      <c r="C1318" s="35" t="str">
        <f t="shared" si="16"/>
        <v/>
      </c>
      <c r="D1318" s="35" t="str">
        <f t="shared" si="17"/>
        <v/>
      </c>
      <c r="E1318" s="35" t="str">
        <f t="shared" si="18"/>
        <v/>
      </c>
      <c r="F1318" s="35" t="str">
        <f t="shared" si="19"/>
        <v/>
      </c>
      <c r="G1318" s="35" t="str">
        <f t="shared" si="20"/>
        <v/>
      </c>
      <c r="H1318" s="49"/>
      <c r="I1318" s="47" t="str">
        <f t="shared" si="21"/>
        <v/>
      </c>
      <c r="J1318" s="50"/>
      <c r="K1318" s="45" t="b">
        <v>0</v>
      </c>
      <c r="L1318" s="45"/>
      <c r="M1318" s="45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6"/>
      <c r="AF1318" s="26"/>
      <c r="AG1318" s="26"/>
      <c r="AH1318" s="26"/>
      <c r="AI1318" s="26"/>
      <c r="AJ1318" s="26"/>
      <c r="AK1318" s="2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46"/>
      <c r="BM1318" s="46"/>
      <c r="BN1318" s="46"/>
      <c r="BO1318" s="46"/>
    </row>
    <row r="1319">
      <c r="A1319" s="16" t="str">
        <f t="shared" si="14"/>
        <v/>
      </c>
      <c r="B1319" s="16" t="str">
        <f t="shared" si="15"/>
        <v/>
      </c>
      <c r="C1319" s="35" t="str">
        <f t="shared" si="16"/>
        <v/>
      </c>
      <c r="D1319" s="35" t="str">
        <f t="shared" si="17"/>
        <v/>
      </c>
      <c r="E1319" s="35" t="str">
        <f t="shared" si="18"/>
        <v/>
      </c>
      <c r="F1319" s="35" t="str">
        <f t="shared" si="19"/>
        <v/>
      </c>
      <c r="G1319" s="35" t="str">
        <f t="shared" si="20"/>
        <v/>
      </c>
      <c r="H1319" s="49"/>
      <c r="I1319" s="47" t="str">
        <f t="shared" si="21"/>
        <v/>
      </c>
      <c r="J1319" s="50"/>
      <c r="K1319" s="45" t="b">
        <v>0</v>
      </c>
      <c r="L1319" s="45"/>
      <c r="M1319" s="45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6"/>
      <c r="AI1319" s="26"/>
      <c r="AJ1319" s="26"/>
      <c r="AK1319" s="2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46"/>
      <c r="BM1319" s="46"/>
      <c r="BN1319" s="46"/>
      <c r="BO1319" s="46"/>
    </row>
    <row r="1320">
      <c r="A1320" s="16" t="str">
        <f t="shared" si="14"/>
        <v/>
      </c>
      <c r="B1320" s="16" t="str">
        <f t="shared" si="15"/>
        <v/>
      </c>
      <c r="C1320" s="35" t="str">
        <f t="shared" si="16"/>
        <v/>
      </c>
      <c r="D1320" s="35" t="str">
        <f t="shared" si="17"/>
        <v/>
      </c>
      <c r="E1320" s="35" t="str">
        <f t="shared" si="18"/>
        <v/>
      </c>
      <c r="F1320" s="35" t="str">
        <f t="shared" si="19"/>
        <v/>
      </c>
      <c r="G1320" s="35" t="str">
        <f t="shared" si="20"/>
        <v/>
      </c>
      <c r="H1320" s="49"/>
      <c r="I1320" s="47" t="str">
        <f t="shared" si="21"/>
        <v/>
      </c>
      <c r="J1320" s="50"/>
      <c r="K1320" s="45" t="b">
        <v>0</v>
      </c>
      <c r="L1320" s="45"/>
      <c r="M1320" s="45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  <c r="AD1320" s="26"/>
      <c r="AE1320" s="26"/>
      <c r="AF1320" s="26"/>
      <c r="AG1320" s="26"/>
      <c r="AH1320" s="26"/>
      <c r="AI1320" s="26"/>
      <c r="AJ1320" s="26"/>
      <c r="AK1320" s="2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</row>
    <row r="1321">
      <c r="A1321" s="16" t="str">
        <f t="shared" si="14"/>
        <v/>
      </c>
      <c r="B1321" s="16" t="str">
        <f t="shared" si="15"/>
        <v/>
      </c>
      <c r="C1321" s="35" t="str">
        <f t="shared" si="16"/>
        <v/>
      </c>
      <c r="D1321" s="35" t="str">
        <f t="shared" si="17"/>
        <v/>
      </c>
      <c r="E1321" s="35" t="str">
        <f t="shared" si="18"/>
        <v/>
      </c>
      <c r="F1321" s="35" t="str">
        <f t="shared" si="19"/>
        <v/>
      </c>
      <c r="G1321" s="35" t="str">
        <f t="shared" si="20"/>
        <v/>
      </c>
      <c r="H1321" s="49"/>
      <c r="I1321" s="47" t="str">
        <f t="shared" si="21"/>
        <v/>
      </c>
      <c r="J1321" s="50"/>
      <c r="K1321" s="45" t="b">
        <v>0</v>
      </c>
      <c r="L1321" s="45"/>
      <c r="M1321" s="45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  <c r="AD1321" s="26"/>
      <c r="AE1321" s="26"/>
      <c r="AF1321" s="26"/>
      <c r="AG1321" s="26"/>
      <c r="AH1321" s="26"/>
      <c r="AI1321" s="26"/>
      <c r="AJ1321" s="26"/>
      <c r="AK1321" s="2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46"/>
      <c r="BM1321" s="46"/>
      <c r="BN1321" s="46"/>
      <c r="BO1321" s="46"/>
    </row>
    <row r="1322">
      <c r="A1322" s="16" t="str">
        <f t="shared" si="14"/>
        <v/>
      </c>
      <c r="B1322" s="16" t="str">
        <f t="shared" si="15"/>
        <v/>
      </c>
      <c r="C1322" s="35" t="str">
        <f t="shared" si="16"/>
        <v/>
      </c>
      <c r="D1322" s="35" t="str">
        <f t="shared" si="17"/>
        <v/>
      </c>
      <c r="E1322" s="35" t="str">
        <f t="shared" si="18"/>
        <v/>
      </c>
      <c r="F1322" s="35" t="str">
        <f t="shared" si="19"/>
        <v/>
      </c>
      <c r="G1322" s="35" t="str">
        <f t="shared" si="20"/>
        <v/>
      </c>
      <c r="H1322" s="49"/>
      <c r="I1322" s="47" t="str">
        <f t="shared" si="21"/>
        <v/>
      </c>
      <c r="J1322" s="50"/>
      <c r="K1322" s="45" t="b">
        <v>0</v>
      </c>
      <c r="L1322" s="45"/>
      <c r="M1322" s="45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  <c r="AC1322" s="26"/>
      <c r="AD1322" s="26"/>
      <c r="AE1322" s="26"/>
      <c r="AF1322" s="26"/>
      <c r="AG1322" s="26"/>
      <c r="AH1322" s="26"/>
      <c r="AI1322" s="26"/>
      <c r="AJ1322" s="26"/>
      <c r="AK1322" s="2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</row>
    <row r="1323">
      <c r="A1323" s="16" t="str">
        <f t="shared" si="14"/>
        <v/>
      </c>
      <c r="B1323" s="16" t="str">
        <f t="shared" si="15"/>
        <v/>
      </c>
      <c r="C1323" s="35" t="str">
        <f t="shared" si="16"/>
        <v/>
      </c>
      <c r="D1323" s="35" t="str">
        <f t="shared" si="17"/>
        <v/>
      </c>
      <c r="E1323" s="35" t="str">
        <f t="shared" si="18"/>
        <v/>
      </c>
      <c r="F1323" s="35" t="str">
        <f t="shared" si="19"/>
        <v/>
      </c>
      <c r="G1323" s="35" t="str">
        <f t="shared" si="20"/>
        <v/>
      </c>
      <c r="H1323" s="49"/>
      <c r="I1323" s="47" t="str">
        <f t="shared" si="21"/>
        <v/>
      </c>
      <c r="J1323" s="50"/>
      <c r="K1323" s="45" t="b">
        <v>0</v>
      </c>
      <c r="L1323" s="45"/>
      <c r="M1323" s="45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  <c r="AC1323" s="26"/>
      <c r="AD1323" s="26"/>
      <c r="AE1323" s="26"/>
      <c r="AF1323" s="26"/>
      <c r="AG1323" s="26"/>
      <c r="AH1323" s="26"/>
      <c r="AI1323" s="26"/>
      <c r="AJ1323" s="26"/>
      <c r="AK1323" s="2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</row>
    <row r="1324">
      <c r="A1324" s="16" t="str">
        <f t="shared" si="14"/>
        <v/>
      </c>
      <c r="B1324" s="16" t="str">
        <f t="shared" si="15"/>
        <v/>
      </c>
      <c r="C1324" s="35" t="str">
        <f t="shared" si="16"/>
        <v/>
      </c>
      <c r="D1324" s="35" t="str">
        <f t="shared" si="17"/>
        <v/>
      </c>
      <c r="E1324" s="35" t="str">
        <f t="shared" si="18"/>
        <v/>
      </c>
      <c r="F1324" s="35" t="str">
        <f t="shared" si="19"/>
        <v/>
      </c>
      <c r="G1324" s="35" t="str">
        <f t="shared" si="20"/>
        <v/>
      </c>
      <c r="H1324" s="49"/>
      <c r="I1324" s="47" t="str">
        <f t="shared" si="21"/>
        <v/>
      </c>
      <c r="J1324" s="50"/>
      <c r="K1324" s="45" t="b">
        <v>0</v>
      </c>
      <c r="L1324" s="45"/>
      <c r="M1324" s="45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  <c r="AD1324" s="26"/>
      <c r="AE1324" s="26"/>
      <c r="AF1324" s="26"/>
      <c r="AG1324" s="26"/>
      <c r="AH1324" s="26"/>
      <c r="AI1324" s="26"/>
      <c r="AJ1324" s="26"/>
      <c r="AK1324" s="2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46"/>
      <c r="BM1324" s="46"/>
      <c r="BN1324" s="46"/>
      <c r="BO1324" s="46"/>
    </row>
    <row r="1325">
      <c r="A1325" s="16" t="str">
        <f t="shared" si="14"/>
        <v/>
      </c>
      <c r="B1325" s="16" t="str">
        <f t="shared" si="15"/>
        <v/>
      </c>
      <c r="C1325" s="35" t="str">
        <f t="shared" si="16"/>
        <v/>
      </c>
      <c r="D1325" s="35" t="str">
        <f t="shared" si="17"/>
        <v/>
      </c>
      <c r="E1325" s="35" t="str">
        <f t="shared" si="18"/>
        <v/>
      </c>
      <c r="F1325" s="35" t="str">
        <f t="shared" si="19"/>
        <v/>
      </c>
      <c r="G1325" s="35" t="str">
        <f t="shared" si="20"/>
        <v/>
      </c>
      <c r="H1325" s="49"/>
      <c r="I1325" s="47" t="str">
        <f t="shared" si="21"/>
        <v/>
      </c>
      <c r="J1325" s="50"/>
      <c r="K1325" s="45" t="b">
        <v>0</v>
      </c>
      <c r="L1325" s="45"/>
      <c r="M1325" s="45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6"/>
      <c r="AF1325" s="26"/>
      <c r="AG1325" s="26"/>
      <c r="AH1325" s="26"/>
      <c r="AI1325" s="26"/>
      <c r="AJ1325" s="26"/>
      <c r="AK1325" s="2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46"/>
      <c r="BM1325" s="46"/>
      <c r="BN1325" s="46"/>
      <c r="BO1325" s="46"/>
    </row>
    <row r="1326">
      <c r="A1326" s="16" t="str">
        <f t="shared" si="14"/>
        <v/>
      </c>
      <c r="B1326" s="16" t="str">
        <f t="shared" si="15"/>
        <v/>
      </c>
      <c r="C1326" s="35" t="str">
        <f t="shared" si="16"/>
        <v/>
      </c>
      <c r="D1326" s="35" t="str">
        <f t="shared" si="17"/>
        <v/>
      </c>
      <c r="E1326" s="35" t="str">
        <f t="shared" si="18"/>
        <v/>
      </c>
      <c r="F1326" s="35" t="str">
        <f t="shared" si="19"/>
        <v/>
      </c>
      <c r="G1326" s="35" t="str">
        <f t="shared" si="20"/>
        <v/>
      </c>
      <c r="H1326" s="49"/>
      <c r="I1326" s="47" t="str">
        <f t="shared" si="21"/>
        <v/>
      </c>
      <c r="J1326" s="50"/>
      <c r="K1326" s="45" t="b">
        <v>0</v>
      </c>
      <c r="L1326" s="45"/>
      <c r="M1326" s="45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  <c r="AD1326" s="26"/>
      <c r="AE1326" s="26"/>
      <c r="AF1326" s="26"/>
      <c r="AG1326" s="26"/>
      <c r="AH1326" s="26"/>
      <c r="AI1326" s="26"/>
      <c r="AJ1326" s="26"/>
      <c r="AK1326" s="2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46"/>
      <c r="BM1326" s="46"/>
      <c r="BN1326" s="46"/>
      <c r="BO1326" s="46"/>
    </row>
    <row r="1327">
      <c r="A1327" s="16" t="str">
        <f t="shared" si="14"/>
        <v/>
      </c>
      <c r="B1327" s="16" t="str">
        <f t="shared" si="15"/>
        <v/>
      </c>
      <c r="C1327" s="35" t="str">
        <f t="shared" si="16"/>
        <v/>
      </c>
      <c r="D1327" s="35" t="str">
        <f t="shared" si="17"/>
        <v/>
      </c>
      <c r="E1327" s="35" t="str">
        <f t="shared" si="18"/>
        <v/>
      </c>
      <c r="F1327" s="35" t="str">
        <f t="shared" si="19"/>
        <v/>
      </c>
      <c r="G1327" s="35" t="str">
        <f t="shared" si="20"/>
        <v/>
      </c>
      <c r="H1327" s="49"/>
      <c r="I1327" s="47" t="str">
        <f t="shared" si="21"/>
        <v/>
      </c>
      <c r="J1327" s="50"/>
      <c r="K1327" s="45" t="b">
        <v>0</v>
      </c>
      <c r="L1327" s="45"/>
      <c r="M1327" s="45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6"/>
      <c r="AF1327" s="26"/>
      <c r="AG1327" s="26"/>
      <c r="AH1327" s="26"/>
      <c r="AI1327" s="26"/>
      <c r="AJ1327" s="26"/>
      <c r="AK1327" s="2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46"/>
      <c r="BM1327" s="46"/>
      <c r="BN1327" s="46"/>
      <c r="BO1327" s="46"/>
    </row>
    <row r="1328">
      <c r="A1328" s="16" t="str">
        <f t="shared" si="14"/>
        <v/>
      </c>
      <c r="B1328" s="16" t="str">
        <f t="shared" si="15"/>
        <v/>
      </c>
      <c r="C1328" s="35" t="str">
        <f t="shared" si="16"/>
        <v/>
      </c>
      <c r="D1328" s="35" t="str">
        <f t="shared" si="17"/>
        <v/>
      </c>
      <c r="E1328" s="35" t="str">
        <f t="shared" si="18"/>
        <v/>
      </c>
      <c r="F1328" s="35" t="str">
        <f t="shared" si="19"/>
        <v/>
      </c>
      <c r="G1328" s="35" t="str">
        <f t="shared" si="20"/>
        <v/>
      </c>
      <c r="H1328" s="49"/>
      <c r="I1328" s="47" t="str">
        <f t="shared" si="21"/>
        <v/>
      </c>
      <c r="J1328" s="50"/>
      <c r="K1328" s="45" t="b">
        <v>0</v>
      </c>
      <c r="L1328" s="45"/>
      <c r="M1328" s="45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  <c r="AD1328" s="26"/>
      <c r="AE1328" s="26"/>
      <c r="AF1328" s="26"/>
      <c r="AG1328" s="26"/>
      <c r="AH1328" s="26"/>
      <c r="AI1328" s="26"/>
      <c r="AJ1328" s="26"/>
      <c r="AK1328" s="2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46"/>
      <c r="BM1328" s="46"/>
      <c r="BN1328" s="46"/>
      <c r="BO1328" s="46"/>
    </row>
    <row r="1329">
      <c r="A1329" s="16" t="str">
        <f t="shared" si="14"/>
        <v/>
      </c>
      <c r="B1329" s="16" t="str">
        <f t="shared" si="15"/>
        <v/>
      </c>
      <c r="C1329" s="35" t="str">
        <f t="shared" si="16"/>
        <v/>
      </c>
      <c r="D1329" s="35" t="str">
        <f t="shared" si="17"/>
        <v/>
      </c>
      <c r="E1329" s="35" t="str">
        <f t="shared" si="18"/>
        <v/>
      </c>
      <c r="F1329" s="35" t="str">
        <f t="shared" si="19"/>
        <v/>
      </c>
      <c r="G1329" s="35" t="str">
        <f t="shared" si="20"/>
        <v/>
      </c>
      <c r="H1329" s="49"/>
      <c r="I1329" s="47" t="str">
        <f t="shared" si="21"/>
        <v/>
      </c>
      <c r="J1329" s="50"/>
      <c r="K1329" s="45" t="b">
        <v>0</v>
      </c>
      <c r="L1329" s="45"/>
      <c r="M1329" s="45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6"/>
      <c r="AF1329" s="26"/>
      <c r="AG1329" s="26"/>
      <c r="AH1329" s="26"/>
      <c r="AI1329" s="26"/>
      <c r="AJ1329" s="26"/>
      <c r="AK1329" s="2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46"/>
      <c r="BM1329" s="46"/>
      <c r="BN1329" s="46"/>
      <c r="BO1329" s="46"/>
    </row>
    <row r="1330">
      <c r="A1330" s="16" t="str">
        <f t="shared" si="14"/>
        <v/>
      </c>
      <c r="B1330" s="16" t="str">
        <f t="shared" si="15"/>
        <v/>
      </c>
      <c r="C1330" s="35" t="str">
        <f t="shared" si="16"/>
        <v/>
      </c>
      <c r="D1330" s="35" t="str">
        <f t="shared" si="17"/>
        <v/>
      </c>
      <c r="E1330" s="35" t="str">
        <f t="shared" si="18"/>
        <v/>
      </c>
      <c r="F1330" s="35" t="str">
        <f t="shared" si="19"/>
        <v/>
      </c>
      <c r="G1330" s="35" t="str">
        <f t="shared" si="20"/>
        <v/>
      </c>
      <c r="H1330" s="49"/>
      <c r="I1330" s="47" t="str">
        <f t="shared" si="21"/>
        <v/>
      </c>
      <c r="J1330" s="50"/>
      <c r="K1330" s="45" t="b">
        <v>0</v>
      </c>
      <c r="L1330" s="45"/>
      <c r="M1330" s="45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46"/>
      <c r="BM1330" s="46"/>
      <c r="BN1330" s="46"/>
      <c r="BO1330" s="46"/>
    </row>
    <row r="1331">
      <c r="A1331" s="16" t="str">
        <f t="shared" si="14"/>
        <v/>
      </c>
      <c r="B1331" s="16" t="str">
        <f t="shared" si="15"/>
        <v/>
      </c>
      <c r="C1331" s="35" t="str">
        <f t="shared" si="16"/>
        <v/>
      </c>
      <c r="D1331" s="35" t="str">
        <f t="shared" si="17"/>
        <v/>
      </c>
      <c r="E1331" s="35" t="str">
        <f t="shared" si="18"/>
        <v/>
      </c>
      <c r="F1331" s="35" t="str">
        <f t="shared" si="19"/>
        <v/>
      </c>
      <c r="G1331" s="35" t="str">
        <f t="shared" si="20"/>
        <v/>
      </c>
      <c r="H1331" s="49"/>
      <c r="I1331" s="47" t="str">
        <f t="shared" si="21"/>
        <v/>
      </c>
      <c r="J1331" s="50"/>
      <c r="K1331" s="45" t="b">
        <v>0</v>
      </c>
      <c r="L1331" s="45"/>
      <c r="M1331" s="45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6"/>
      <c r="AF1331" s="26"/>
      <c r="AG1331" s="26"/>
      <c r="AH1331" s="26"/>
      <c r="AI1331" s="26"/>
      <c r="AJ1331" s="26"/>
      <c r="AK1331" s="2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46"/>
      <c r="BM1331" s="46"/>
      <c r="BN1331" s="46"/>
      <c r="BO1331" s="46"/>
    </row>
    <row r="1332">
      <c r="A1332" s="16" t="str">
        <f t="shared" si="14"/>
        <v/>
      </c>
      <c r="B1332" s="16" t="str">
        <f t="shared" si="15"/>
        <v/>
      </c>
      <c r="C1332" s="35" t="str">
        <f t="shared" si="16"/>
        <v/>
      </c>
      <c r="D1332" s="35" t="str">
        <f t="shared" si="17"/>
        <v/>
      </c>
      <c r="E1332" s="35" t="str">
        <f t="shared" si="18"/>
        <v/>
      </c>
      <c r="F1332" s="35" t="str">
        <f t="shared" si="19"/>
        <v/>
      </c>
      <c r="G1332" s="35" t="str">
        <f t="shared" si="20"/>
        <v/>
      </c>
      <c r="H1332" s="49"/>
      <c r="I1332" s="47" t="str">
        <f t="shared" si="21"/>
        <v/>
      </c>
      <c r="J1332" s="50"/>
      <c r="K1332" s="45" t="b">
        <v>0</v>
      </c>
      <c r="L1332" s="45"/>
      <c r="M1332" s="45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46"/>
      <c r="BM1332" s="46"/>
      <c r="BN1332" s="46"/>
      <c r="BO1332" s="46"/>
    </row>
    <row r="1333">
      <c r="A1333" s="16" t="str">
        <f t="shared" si="14"/>
        <v/>
      </c>
      <c r="B1333" s="16" t="str">
        <f t="shared" si="15"/>
        <v/>
      </c>
      <c r="C1333" s="35" t="str">
        <f t="shared" si="16"/>
        <v/>
      </c>
      <c r="D1333" s="35" t="str">
        <f t="shared" si="17"/>
        <v/>
      </c>
      <c r="E1333" s="35" t="str">
        <f t="shared" si="18"/>
        <v/>
      </c>
      <c r="F1333" s="35" t="str">
        <f t="shared" si="19"/>
        <v/>
      </c>
      <c r="G1333" s="35" t="str">
        <f t="shared" si="20"/>
        <v/>
      </c>
      <c r="H1333" s="49"/>
      <c r="I1333" s="47" t="str">
        <f t="shared" si="21"/>
        <v/>
      </c>
      <c r="J1333" s="50"/>
      <c r="K1333" s="45" t="b">
        <v>0</v>
      </c>
      <c r="L1333" s="45"/>
      <c r="M1333" s="45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</row>
    <row r="1334">
      <c r="A1334" s="16" t="str">
        <f t="shared" si="14"/>
        <v/>
      </c>
      <c r="B1334" s="16" t="str">
        <f t="shared" si="15"/>
        <v/>
      </c>
      <c r="C1334" s="35" t="str">
        <f t="shared" si="16"/>
        <v/>
      </c>
      <c r="D1334" s="35" t="str">
        <f t="shared" si="17"/>
        <v/>
      </c>
      <c r="E1334" s="35" t="str">
        <f t="shared" si="18"/>
        <v/>
      </c>
      <c r="F1334" s="35" t="str">
        <f t="shared" si="19"/>
        <v/>
      </c>
      <c r="G1334" s="35" t="str">
        <f t="shared" si="20"/>
        <v/>
      </c>
      <c r="H1334" s="49"/>
      <c r="I1334" s="47" t="str">
        <f t="shared" si="21"/>
        <v/>
      </c>
      <c r="J1334" s="50"/>
      <c r="K1334" s="45" t="b">
        <v>0</v>
      </c>
      <c r="L1334" s="45"/>
      <c r="M1334" s="45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6"/>
      <c r="AF1334" s="26"/>
      <c r="AG1334" s="26"/>
      <c r="AH1334" s="26"/>
      <c r="AI1334" s="26"/>
      <c r="AJ1334" s="26"/>
      <c r="AK1334" s="2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</row>
    <row r="1335">
      <c r="A1335" s="16" t="str">
        <f t="shared" si="14"/>
        <v/>
      </c>
      <c r="B1335" s="16" t="str">
        <f t="shared" si="15"/>
        <v/>
      </c>
      <c r="C1335" s="35" t="str">
        <f t="shared" si="16"/>
        <v/>
      </c>
      <c r="D1335" s="35" t="str">
        <f t="shared" si="17"/>
        <v/>
      </c>
      <c r="E1335" s="35" t="str">
        <f t="shared" si="18"/>
        <v/>
      </c>
      <c r="F1335" s="35" t="str">
        <f t="shared" si="19"/>
        <v/>
      </c>
      <c r="G1335" s="35" t="str">
        <f t="shared" si="20"/>
        <v/>
      </c>
      <c r="H1335" s="49"/>
      <c r="I1335" s="47" t="str">
        <f t="shared" si="21"/>
        <v/>
      </c>
      <c r="J1335" s="50"/>
      <c r="K1335" s="45" t="b">
        <v>0</v>
      </c>
      <c r="L1335" s="45"/>
      <c r="M1335" s="45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6"/>
      <c r="AF1335" s="26"/>
      <c r="AG1335" s="26"/>
      <c r="AH1335" s="26"/>
      <c r="AI1335" s="26"/>
      <c r="AJ1335" s="26"/>
      <c r="AK1335" s="2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46"/>
      <c r="BM1335" s="46"/>
      <c r="BN1335" s="46"/>
      <c r="BO1335" s="46"/>
    </row>
    <row r="1336">
      <c r="A1336" s="16" t="str">
        <f t="shared" si="14"/>
        <v/>
      </c>
      <c r="B1336" s="16" t="str">
        <f t="shared" si="15"/>
        <v/>
      </c>
      <c r="C1336" s="35" t="str">
        <f t="shared" si="16"/>
        <v/>
      </c>
      <c r="D1336" s="35" t="str">
        <f t="shared" si="17"/>
        <v/>
      </c>
      <c r="E1336" s="35" t="str">
        <f t="shared" si="18"/>
        <v/>
      </c>
      <c r="F1336" s="35" t="str">
        <f t="shared" si="19"/>
        <v/>
      </c>
      <c r="G1336" s="35" t="str">
        <f t="shared" si="20"/>
        <v/>
      </c>
      <c r="H1336" s="49"/>
      <c r="I1336" s="47" t="str">
        <f t="shared" si="21"/>
        <v/>
      </c>
      <c r="J1336" s="50"/>
      <c r="K1336" s="45" t="b">
        <v>0</v>
      </c>
      <c r="L1336" s="45"/>
      <c r="M1336" s="45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  <c r="AD1336" s="26"/>
      <c r="AE1336" s="26"/>
      <c r="AF1336" s="26"/>
      <c r="AG1336" s="26"/>
      <c r="AH1336" s="26"/>
      <c r="AI1336" s="26"/>
      <c r="AJ1336" s="26"/>
      <c r="AK1336" s="2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46"/>
      <c r="BM1336" s="46"/>
      <c r="BN1336" s="46"/>
      <c r="BO1336" s="46"/>
    </row>
    <row r="1337">
      <c r="A1337" s="16" t="str">
        <f t="shared" si="14"/>
        <v/>
      </c>
      <c r="B1337" s="16" t="str">
        <f t="shared" si="15"/>
        <v/>
      </c>
      <c r="C1337" s="35" t="str">
        <f t="shared" si="16"/>
        <v/>
      </c>
      <c r="D1337" s="35" t="str">
        <f t="shared" si="17"/>
        <v/>
      </c>
      <c r="E1337" s="35" t="str">
        <f t="shared" si="18"/>
        <v/>
      </c>
      <c r="F1337" s="35" t="str">
        <f t="shared" si="19"/>
        <v/>
      </c>
      <c r="G1337" s="35" t="str">
        <f t="shared" si="20"/>
        <v/>
      </c>
      <c r="H1337" s="49"/>
      <c r="I1337" s="47" t="str">
        <f t="shared" si="21"/>
        <v/>
      </c>
      <c r="J1337" s="50"/>
      <c r="K1337" s="45" t="b">
        <v>0</v>
      </c>
      <c r="L1337" s="45"/>
      <c r="M1337" s="45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  <c r="AC1337" s="26"/>
      <c r="AD1337" s="26"/>
      <c r="AE1337" s="26"/>
      <c r="AF1337" s="26"/>
      <c r="AG1337" s="26"/>
      <c r="AH1337" s="26"/>
      <c r="AI1337" s="26"/>
      <c r="AJ1337" s="26"/>
      <c r="AK1337" s="2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46"/>
      <c r="BM1337" s="46"/>
      <c r="BN1337" s="46"/>
      <c r="BO1337" s="46"/>
    </row>
    <row r="1338">
      <c r="A1338" s="16" t="str">
        <f t="shared" si="14"/>
        <v/>
      </c>
      <c r="B1338" s="16" t="str">
        <f t="shared" si="15"/>
        <v/>
      </c>
      <c r="C1338" s="35" t="str">
        <f t="shared" si="16"/>
        <v/>
      </c>
      <c r="D1338" s="35" t="str">
        <f t="shared" si="17"/>
        <v/>
      </c>
      <c r="E1338" s="35" t="str">
        <f t="shared" si="18"/>
        <v/>
      </c>
      <c r="F1338" s="35" t="str">
        <f t="shared" si="19"/>
        <v/>
      </c>
      <c r="G1338" s="35" t="str">
        <f t="shared" si="20"/>
        <v/>
      </c>
      <c r="H1338" s="49"/>
      <c r="I1338" s="47" t="str">
        <f t="shared" si="21"/>
        <v/>
      </c>
      <c r="J1338" s="50"/>
      <c r="K1338" s="45" t="b">
        <v>0</v>
      </c>
      <c r="L1338" s="45"/>
      <c r="M1338" s="45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</row>
    <row r="1339">
      <c r="A1339" s="16" t="str">
        <f t="shared" si="14"/>
        <v/>
      </c>
      <c r="B1339" s="16" t="str">
        <f t="shared" si="15"/>
        <v/>
      </c>
      <c r="C1339" s="35" t="str">
        <f t="shared" si="16"/>
        <v/>
      </c>
      <c r="D1339" s="35" t="str">
        <f t="shared" si="17"/>
        <v/>
      </c>
      <c r="E1339" s="35" t="str">
        <f t="shared" si="18"/>
        <v/>
      </c>
      <c r="F1339" s="35" t="str">
        <f t="shared" si="19"/>
        <v/>
      </c>
      <c r="G1339" s="35" t="str">
        <f t="shared" si="20"/>
        <v/>
      </c>
      <c r="H1339" s="49"/>
      <c r="I1339" s="47" t="str">
        <f t="shared" si="21"/>
        <v/>
      </c>
      <c r="J1339" s="50"/>
      <c r="K1339" s="45" t="b">
        <v>0</v>
      </c>
      <c r="L1339" s="45"/>
      <c r="M1339" s="45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</row>
    <row r="1340">
      <c r="A1340" s="16" t="str">
        <f t="shared" si="14"/>
        <v/>
      </c>
      <c r="B1340" s="16" t="str">
        <f t="shared" si="15"/>
        <v/>
      </c>
      <c r="C1340" s="35" t="str">
        <f t="shared" si="16"/>
        <v/>
      </c>
      <c r="D1340" s="35" t="str">
        <f t="shared" si="17"/>
        <v/>
      </c>
      <c r="E1340" s="35" t="str">
        <f t="shared" si="18"/>
        <v/>
      </c>
      <c r="F1340" s="35" t="str">
        <f t="shared" si="19"/>
        <v/>
      </c>
      <c r="G1340" s="35" t="str">
        <f t="shared" si="20"/>
        <v/>
      </c>
      <c r="H1340" s="49"/>
      <c r="I1340" s="47" t="str">
        <f t="shared" si="21"/>
        <v/>
      </c>
      <c r="J1340" s="50"/>
      <c r="K1340" s="45" t="b">
        <v>0</v>
      </c>
      <c r="L1340" s="45"/>
      <c r="M1340" s="45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</row>
    <row r="1341">
      <c r="A1341" s="16" t="str">
        <f t="shared" si="14"/>
        <v/>
      </c>
      <c r="B1341" s="16" t="str">
        <f t="shared" si="15"/>
        <v/>
      </c>
      <c r="C1341" s="35" t="str">
        <f t="shared" si="16"/>
        <v/>
      </c>
      <c r="D1341" s="35" t="str">
        <f t="shared" si="17"/>
        <v/>
      </c>
      <c r="E1341" s="35" t="str">
        <f t="shared" si="18"/>
        <v/>
      </c>
      <c r="F1341" s="35" t="str">
        <f t="shared" si="19"/>
        <v/>
      </c>
      <c r="G1341" s="35" t="str">
        <f t="shared" si="20"/>
        <v/>
      </c>
      <c r="H1341" s="49"/>
      <c r="I1341" s="47" t="str">
        <f t="shared" si="21"/>
        <v/>
      </c>
      <c r="J1341" s="50"/>
      <c r="K1341" s="45" t="b">
        <v>0</v>
      </c>
      <c r="L1341" s="45"/>
      <c r="M1341" s="45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46"/>
      <c r="BM1341" s="46"/>
      <c r="BN1341" s="46"/>
      <c r="BO1341" s="46"/>
    </row>
    <row r="1342">
      <c r="A1342" s="16" t="str">
        <f t="shared" si="14"/>
        <v/>
      </c>
      <c r="B1342" s="16" t="str">
        <f t="shared" si="15"/>
        <v/>
      </c>
      <c r="C1342" s="35" t="str">
        <f t="shared" si="16"/>
        <v/>
      </c>
      <c r="D1342" s="35" t="str">
        <f t="shared" si="17"/>
        <v/>
      </c>
      <c r="E1342" s="35" t="str">
        <f t="shared" si="18"/>
        <v/>
      </c>
      <c r="F1342" s="35" t="str">
        <f t="shared" si="19"/>
        <v/>
      </c>
      <c r="G1342" s="35" t="str">
        <f t="shared" si="20"/>
        <v/>
      </c>
      <c r="H1342" s="49"/>
      <c r="I1342" s="47" t="str">
        <f t="shared" si="21"/>
        <v/>
      </c>
      <c r="J1342" s="50"/>
      <c r="K1342" s="45" t="b">
        <v>0</v>
      </c>
      <c r="L1342" s="45"/>
      <c r="M1342" s="45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/>
    </row>
    <row r="1343">
      <c r="A1343" s="16" t="str">
        <f t="shared" si="14"/>
        <v/>
      </c>
      <c r="B1343" s="16" t="str">
        <f t="shared" si="15"/>
        <v/>
      </c>
      <c r="C1343" s="35" t="str">
        <f t="shared" si="16"/>
        <v/>
      </c>
      <c r="D1343" s="35" t="str">
        <f t="shared" si="17"/>
        <v/>
      </c>
      <c r="E1343" s="35" t="str">
        <f t="shared" si="18"/>
        <v/>
      </c>
      <c r="F1343" s="35" t="str">
        <f t="shared" si="19"/>
        <v/>
      </c>
      <c r="G1343" s="35" t="str">
        <f t="shared" si="20"/>
        <v/>
      </c>
      <c r="H1343" s="49"/>
      <c r="I1343" s="47" t="str">
        <f t="shared" si="21"/>
        <v/>
      </c>
      <c r="J1343" s="50"/>
      <c r="K1343" s="45" t="b">
        <v>0</v>
      </c>
      <c r="L1343" s="45"/>
      <c r="M1343" s="45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46"/>
      <c r="BM1343" s="46"/>
      <c r="BN1343" s="46"/>
      <c r="BO1343" s="46"/>
    </row>
    <row r="1344">
      <c r="A1344" s="16" t="str">
        <f t="shared" si="14"/>
        <v/>
      </c>
      <c r="B1344" s="16" t="str">
        <f t="shared" si="15"/>
        <v/>
      </c>
      <c r="C1344" s="35" t="str">
        <f t="shared" si="16"/>
        <v/>
      </c>
      <c r="D1344" s="35" t="str">
        <f t="shared" si="17"/>
        <v/>
      </c>
      <c r="E1344" s="35" t="str">
        <f t="shared" si="18"/>
        <v/>
      </c>
      <c r="F1344" s="35" t="str">
        <f t="shared" si="19"/>
        <v/>
      </c>
      <c r="G1344" s="35" t="str">
        <f t="shared" si="20"/>
        <v/>
      </c>
      <c r="H1344" s="49"/>
      <c r="I1344" s="47" t="str">
        <f t="shared" si="21"/>
        <v/>
      </c>
      <c r="J1344" s="50"/>
      <c r="K1344" s="45" t="b">
        <v>0</v>
      </c>
      <c r="L1344" s="45"/>
      <c r="M1344" s="45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46"/>
      <c r="BM1344" s="46"/>
      <c r="BN1344" s="46"/>
      <c r="BO1344" s="46"/>
    </row>
    <row r="1345">
      <c r="A1345" s="16" t="str">
        <f t="shared" si="14"/>
        <v/>
      </c>
      <c r="B1345" s="16" t="str">
        <f t="shared" si="15"/>
        <v/>
      </c>
      <c r="C1345" s="35" t="str">
        <f t="shared" si="16"/>
        <v/>
      </c>
      <c r="D1345" s="35" t="str">
        <f t="shared" si="17"/>
        <v/>
      </c>
      <c r="E1345" s="35" t="str">
        <f t="shared" si="18"/>
        <v/>
      </c>
      <c r="F1345" s="35" t="str">
        <f t="shared" si="19"/>
        <v/>
      </c>
      <c r="G1345" s="35" t="str">
        <f t="shared" si="20"/>
        <v/>
      </c>
      <c r="H1345" s="49"/>
      <c r="I1345" s="47" t="str">
        <f t="shared" si="21"/>
        <v/>
      </c>
      <c r="J1345" s="50"/>
      <c r="K1345" s="45" t="b">
        <v>0</v>
      </c>
      <c r="L1345" s="45"/>
      <c r="M1345" s="45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6"/>
      <c r="AF1345" s="26"/>
      <c r="AG1345" s="26"/>
      <c r="AH1345" s="26"/>
      <c r="AI1345" s="26"/>
      <c r="AJ1345" s="26"/>
      <c r="AK1345" s="2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46"/>
      <c r="BM1345" s="46"/>
      <c r="BN1345" s="46"/>
      <c r="BO1345" s="46"/>
    </row>
    <row r="1346">
      <c r="A1346" s="16" t="str">
        <f t="shared" si="14"/>
        <v/>
      </c>
      <c r="B1346" s="16" t="str">
        <f t="shared" si="15"/>
        <v/>
      </c>
      <c r="C1346" s="35" t="str">
        <f t="shared" si="16"/>
        <v/>
      </c>
      <c r="D1346" s="35" t="str">
        <f t="shared" si="17"/>
        <v/>
      </c>
      <c r="E1346" s="35" t="str">
        <f t="shared" si="18"/>
        <v/>
      </c>
      <c r="F1346" s="35" t="str">
        <f t="shared" si="19"/>
        <v/>
      </c>
      <c r="G1346" s="35" t="str">
        <f t="shared" si="20"/>
        <v/>
      </c>
      <c r="H1346" s="49"/>
      <c r="I1346" s="47" t="str">
        <f t="shared" si="21"/>
        <v/>
      </c>
      <c r="J1346" s="50"/>
      <c r="K1346" s="45" t="b">
        <v>0</v>
      </c>
      <c r="L1346" s="45"/>
      <c r="M1346" s="45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6"/>
      <c r="AF1346" s="26"/>
      <c r="AG1346" s="26"/>
      <c r="AH1346" s="26"/>
      <c r="AI1346" s="26"/>
      <c r="AJ1346" s="26"/>
      <c r="AK1346" s="2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46"/>
      <c r="BM1346" s="46"/>
      <c r="BN1346" s="46"/>
      <c r="BO1346" s="46"/>
    </row>
    <row r="1347">
      <c r="A1347" s="16" t="str">
        <f t="shared" si="14"/>
        <v/>
      </c>
      <c r="B1347" s="16" t="str">
        <f t="shared" si="15"/>
        <v/>
      </c>
      <c r="C1347" s="35" t="str">
        <f t="shared" si="16"/>
        <v/>
      </c>
      <c r="D1347" s="35" t="str">
        <f t="shared" si="17"/>
        <v/>
      </c>
      <c r="E1347" s="35" t="str">
        <f t="shared" si="18"/>
        <v/>
      </c>
      <c r="F1347" s="35" t="str">
        <f t="shared" si="19"/>
        <v/>
      </c>
      <c r="G1347" s="35" t="str">
        <f t="shared" si="20"/>
        <v/>
      </c>
      <c r="H1347" s="49"/>
      <c r="I1347" s="47" t="str">
        <f t="shared" si="21"/>
        <v/>
      </c>
      <c r="J1347" s="50"/>
      <c r="K1347" s="45" t="b">
        <v>0</v>
      </c>
      <c r="L1347" s="45"/>
      <c r="M1347" s="45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46"/>
      <c r="BM1347" s="46"/>
      <c r="BN1347" s="46"/>
      <c r="BO1347" s="46"/>
    </row>
    <row r="1348">
      <c r="A1348" s="16" t="str">
        <f t="shared" si="14"/>
        <v/>
      </c>
      <c r="B1348" s="16" t="str">
        <f t="shared" si="15"/>
        <v/>
      </c>
      <c r="C1348" s="35" t="str">
        <f t="shared" si="16"/>
        <v/>
      </c>
      <c r="D1348" s="35" t="str">
        <f t="shared" si="17"/>
        <v/>
      </c>
      <c r="E1348" s="35" t="str">
        <f t="shared" si="18"/>
        <v/>
      </c>
      <c r="F1348" s="35" t="str">
        <f t="shared" si="19"/>
        <v/>
      </c>
      <c r="G1348" s="35" t="str">
        <f t="shared" si="20"/>
        <v/>
      </c>
      <c r="H1348" s="49"/>
      <c r="I1348" s="47" t="str">
        <f t="shared" si="21"/>
        <v/>
      </c>
      <c r="J1348" s="50"/>
      <c r="K1348" s="45" t="b">
        <v>0</v>
      </c>
      <c r="L1348" s="45"/>
      <c r="M1348" s="45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46"/>
      <c r="BM1348" s="46"/>
      <c r="BN1348" s="46"/>
      <c r="BO1348" s="46"/>
    </row>
    <row r="1349">
      <c r="A1349" s="16" t="str">
        <f t="shared" si="14"/>
        <v/>
      </c>
      <c r="B1349" s="16" t="str">
        <f t="shared" si="15"/>
        <v/>
      </c>
      <c r="C1349" s="35" t="str">
        <f t="shared" si="16"/>
        <v/>
      </c>
      <c r="D1349" s="35" t="str">
        <f t="shared" si="17"/>
        <v/>
      </c>
      <c r="E1349" s="35" t="str">
        <f t="shared" si="18"/>
        <v/>
      </c>
      <c r="F1349" s="35" t="str">
        <f t="shared" si="19"/>
        <v/>
      </c>
      <c r="G1349" s="35" t="str">
        <f t="shared" si="20"/>
        <v/>
      </c>
      <c r="H1349" s="49"/>
      <c r="I1349" s="47" t="str">
        <f t="shared" si="21"/>
        <v/>
      </c>
      <c r="J1349" s="50"/>
      <c r="K1349" s="45" t="b">
        <v>0</v>
      </c>
      <c r="L1349" s="45"/>
      <c r="M1349" s="45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46"/>
      <c r="BM1349" s="46"/>
      <c r="BN1349" s="46"/>
      <c r="BO1349" s="46"/>
    </row>
    <row r="1350">
      <c r="A1350" s="16" t="str">
        <f t="shared" si="14"/>
        <v/>
      </c>
      <c r="B1350" s="16" t="str">
        <f t="shared" si="15"/>
        <v/>
      </c>
      <c r="C1350" s="35" t="str">
        <f t="shared" si="16"/>
        <v/>
      </c>
      <c r="D1350" s="35" t="str">
        <f t="shared" si="17"/>
        <v/>
      </c>
      <c r="E1350" s="35" t="str">
        <f t="shared" si="18"/>
        <v/>
      </c>
      <c r="F1350" s="35" t="str">
        <f t="shared" si="19"/>
        <v/>
      </c>
      <c r="G1350" s="35" t="str">
        <f t="shared" si="20"/>
        <v/>
      </c>
      <c r="H1350" s="49"/>
      <c r="I1350" s="47" t="str">
        <f t="shared" si="21"/>
        <v/>
      </c>
      <c r="J1350" s="50"/>
      <c r="K1350" s="45" t="b">
        <v>0</v>
      </c>
      <c r="L1350" s="45"/>
      <c r="M1350" s="45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46"/>
      <c r="BM1350" s="46"/>
      <c r="BN1350" s="46"/>
      <c r="BO1350" s="46"/>
    </row>
    <row r="1351">
      <c r="A1351" s="16" t="str">
        <f t="shared" si="14"/>
        <v/>
      </c>
      <c r="B1351" s="16" t="str">
        <f t="shared" si="15"/>
        <v/>
      </c>
      <c r="C1351" s="35" t="str">
        <f t="shared" si="16"/>
        <v/>
      </c>
      <c r="D1351" s="35" t="str">
        <f t="shared" si="17"/>
        <v/>
      </c>
      <c r="E1351" s="35" t="str">
        <f t="shared" si="18"/>
        <v/>
      </c>
      <c r="F1351" s="35" t="str">
        <f t="shared" si="19"/>
        <v/>
      </c>
      <c r="G1351" s="35" t="str">
        <f t="shared" si="20"/>
        <v/>
      </c>
      <c r="H1351" s="49"/>
      <c r="I1351" s="47" t="str">
        <f t="shared" si="21"/>
        <v/>
      </c>
      <c r="J1351" s="50"/>
      <c r="K1351" s="45" t="b">
        <v>0</v>
      </c>
      <c r="L1351" s="45"/>
      <c r="M1351" s="45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46"/>
      <c r="BM1351" s="46"/>
      <c r="BN1351" s="46"/>
      <c r="BO1351" s="46"/>
    </row>
    <row r="1352">
      <c r="A1352" s="16" t="str">
        <f t="shared" si="14"/>
        <v/>
      </c>
      <c r="B1352" s="16" t="str">
        <f t="shared" si="15"/>
        <v/>
      </c>
      <c r="C1352" s="35" t="str">
        <f t="shared" si="16"/>
        <v/>
      </c>
      <c r="D1352" s="35" t="str">
        <f t="shared" si="17"/>
        <v/>
      </c>
      <c r="E1352" s="35" t="str">
        <f t="shared" si="18"/>
        <v/>
      </c>
      <c r="F1352" s="35" t="str">
        <f t="shared" si="19"/>
        <v/>
      </c>
      <c r="G1352" s="35" t="str">
        <f t="shared" si="20"/>
        <v/>
      </c>
      <c r="H1352" s="49"/>
      <c r="I1352" s="47" t="str">
        <f t="shared" si="21"/>
        <v/>
      </c>
      <c r="J1352" s="50"/>
      <c r="K1352" s="45" t="b">
        <v>0</v>
      </c>
      <c r="L1352" s="45"/>
      <c r="M1352" s="45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/>
    </row>
    <row r="1353">
      <c r="A1353" s="16" t="str">
        <f t="shared" si="14"/>
        <v/>
      </c>
      <c r="B1353" s="16" t="str">
        <f t="shared" si="15"/>
        <v/>
      </c>
      <c r="C1353" s="35" t="str">
        <f t="shared" si="16"/>
        <v/>
      </c>
      <c r="D1353" s="35" t="str">
        <f t="shared" si="17"/>
        <v/>
      </c>
      <c r="E1353" s="35" t="str">
        <f t="shared" si="18"/>
        <v/>
      </c>
      <c r="F1353" s="35" t="str">
        <f t="shared" si="19"/>
        <v/>
      </c>
      <c r="G1353" s="35" t="str">
        <f t="shared" si="20"/>
        <v/>
      </c>
      <c r="H1353" s="49"/>
      <c r="I1353" s="47" t="str">
        <f t="shared" si="21"/>
        <v/>
      </c>
      <c r="J1353" s="50"/>
      <c r="K1353" s="45" t="b">
        <v>0</v>
      </c>
      <c r="L1353" s="45"/>
      <c r="M1353" s="45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46"/>
      <c r="BM1353" s="46"/>
      <c r="BN1353" s="46"/>
      <c r="BO1353" s="46"/>
    </row>
    <row r="1354">
      <c r="A1354" s="16" t="str">
        <f t="shared" si="14"/>
        <v/>
      </c>
      <c r="B1354" s="16" t="str">
        <f t="shared" si="15"/>
        <v/>
      </c>
      <c r="C1354" s="35" t="str">
        <f t="shared" si="16"/>
        <v/>
      </c>
      <c r="D1354" s="35" t="str">
        <f t="shared" si="17"/>
        <v/>
      </c>
      <c r="E1354" s="35" t="str">
        <f t="shared" si="18"/>
        <v/>
      </c>
      <c r="F1354" s="35" t="str">
        <f t="shared" si="19"/>
        <v/>
      </c>
      <c r="G1354" s="35" t="str">
        <f t="shared" si="20"/>
        <v/>
      </c>
      <c r="H1354" s="49"/>
      <c r="I1354" s="47" t="str">
        <f t="shared" si="21"/>
        <v/>
      </c>
      <c r="J1354" s="50"/>
      <c r="K1354" s="45" t="b">
        <v>0</v>
      </c>
      <c r="L1354" s="45"/>
      <c r="M1354" s="45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46"/>
      <c r="BM1354" s="46"/>
      <c r="BN1354" s="46"/>
      <c r="BO1354" s="46"/>
    </row>
    <row r="1355">
      <c r="A1355" s="16" t="str">
        <f t="shared" si="14"/>
        <v/>
      </c>
      <c r="B1355" s="16" t="str">
        <f t="shared" si="15"/>
        <v/>
      </c>
      <c r="C1355" s="35" t="str">
        <f t="shared" si="16"/>
        <v/>
      </c>
      <c r="D1355" s="35" t="str">
        <f t="shared" si="17"/>
        <v/>
      </c>
      <c r="E1355" s="35" t="str">
        <f t="shared" si="18"/>
        <v/>
      </c>
      <c r="F1355" s="35" t="str">
        <f t="shared" si="19"/>
        <v/>
      </c>
      <c r="G1355" s="35" t="str">
        <f t="shared" si="20"/>
        <v/>
      </c>
      <c r="H1355" s="49"/>
      <c r="I1355" s="47" t="str">
        <f t="shared" si="21"/>
        <v/>
      </c>
      <c r="J1355" s="50"/>
      <c r="K1355" s="45" t="b">
        <v>0</v>
      </c>
      <c r="L1355" s="45"/>
      <c r="M1355" s="45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6"/>
      <c r="AF1355" s="26"/>
      <c r="AG1355" s="26"/>
      <c r="AH1355" s="26"/>
      <c r="AI1355" s="26"/>
      <c r="AJ1355" s="26"/>
      <c r="AK1355" s="2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46"/>
      <c r="BM1355" s="46"/>
      <c r="BN1355" s="46"/>
      <c r="BO1355" s="46"/>
    </row>
    <row r="1356">
      <c r="A1356" s="16" t="str">
        <f t="shared" si="14"/>
        <v/>
      </c>
      <c r="B1356" s="16" t="str">
        <f t="shared" si="15"/>
        <v/>
      </c>
      <c r="C1356" s="35" t="str">
        <f t="shared" si="16"/>
        <v/>
      </c>
      <c r="D1356" s="35" t="str">
        <f t="shared" si="17"/>
        <v/>
      </c>
      <c r="E1356" s="35" t="str">
        <f t="shared" si="18"/>
        <v/>
      </c>
      <c r="F1356" s="35" t="str">
        <f t="shared" si="19"/>
        <v/>
      </c>
      <c r="G1356" s="35" t="str">
        <f t="shared" si="20"/>
        <v/>
      </c>
      <c r="H1356" s="49"/>
      <c r="I1356" s="47" t="str">
        <f t="shared" si="21"/>
        <v/>
      </c>
      <c r="J1356" s="50"/>
      <c r="K1356" s="45" t="b">
        <v>0</v>
      </c>
      <c r="L1356" s="45"/>
      <c r="M1356" s="45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6"/>
      <c r="AF1356" s="26"/>
      <c r="AG1356" s="26"/>
      <c r="AH1356" s="26"/>
      <c r="AI1356" s="26"/>
      <c r="AJ1356" s="26"/>
      <c r="AK1356" s="2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46"/>
      <c r="BM1356" s="46"/>
      <c r="BN1356" s="46"/>
      <c r="BO1356" s="46"/>
    </row>
    <row r="1357">
      <c r="A1357" s="16" t="str">
        <f t="shared" si="14"/>
        <v/>
      </c>
      <c r="B1357" s="16" t="str">
        <f t="shared" si="15"/>
        <v/>
      </c>
      <c r="C1357" s="35" t="str">
        <f t="shared" si="16"/>
        <v/>
      </c>
      <c r="D1357" s="35" t="str">
        <f t="shared" si="17"/>
        <v/>
      </c>
      <c r="E1357" s="35" t="str">
        <f t="shared" si="18"/>
        <v/>
      </c>
      <c r="F1357" s="35" t="str">
        <f t="shared" si="19"/>
        <v/>
      </c>
      <c r="G1357" s="35" t="str">
        <f t="shared" si="20"/>
        <v/>
      </c>
      <c r="H1357" s="49"/>
      <c r="I1357" s="47" t="str">
        <f t="shared" si="21"/>
        <v/>
      </c>
      <c r="J1357" s="50"/>
      <c r="K1357" s="45" t="b">
        <v>0</v>
      </c>
      <c r="L1357" s="45"/>
      <c r="M1357" s="45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6"/>
      <c r="AF1357" s="26"/>
      <c r="AG1357" s="26"/>
      <c r="AH1357" s="26"/>
      <c r="AI1357" s="26"/>
      <c r="AJ1357" s="26"/>
      <c r="AK1357" s="2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46"/>
      <c r="BM1357" s="46"/>
      <c r="BN1357" s="46"/>
      <c r="BO1357" s="46"/>
    </row>
    <row r="1358">
      <c r="A1358" s="16" t="str">
        <f t="shared" si="14"/>
        <v/>
      </c>
      <c r="B1358" s="16" t="str">
        <f t="shared" si="15"/>
        <v/>
      </c>
      <c r="C1358" s="35" t="str">
        <f t="shared" si="16"/>
        <v/>
      </c>
      <c r="D1358" s="35" t="str">
        <f t="shared" si="17"/>
        <v/>
      </c>
      <c r="E1358" s="35" t="str">
        <f t="shared" si="18"/>
        <v/>
      </c>
      <c r="F1358" s="35" t="str">
        <f t="shared" si="19"/>
        <v/>
      </c>
      <c r="G1358" s="35" t="str">
        <f t="shared" si="20"/>
        <v/>
      </c>
      <c r="H1358" s="49"/>
      <c r="I1358" s="47" t="str">
        <f t="shared" si="21"/>
        <v/>
      </c>
      <c r="J1358" s="50"/>
      <c r="K1358" s="45" t="b">
        <v>0</v>
      </c>
      <c r="L1358" s="45"/>
      <c r="M1358" s="45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6"/>
      <c r="AF1358" s="26"/>
      <c r="AG1358" s="26"/>
      <c r="AH1358" s="26"/>
      <c r="AI1358" s="26"/>
      <c r="AJ1358" s="26"/>
      <c r="AK1358" s="2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46"/>
      <c r="BM1358" s="46"/>
      <c r="BN1358" s="46"/>
      <c r="BO1358" s="46"/>
    </row>
    <row r="1359">
      <c r="A1359" s="16" t="str">
        <f t="shared" si="14"/>
        <v/>
      </c>
      <c r="B1359" s="16" t="str">
        <f t="shared" si="15"/>
        <v/>
      </c>
      <c r="C1359" s="35" t="str">
        <f t="shared" si="16"/>
        <v/>
      </c>
      <c r="D1359" s="35" t="str">
        <f t="shared" si="17"/>
        <v/>
      </c>
      <c r="E1359" s="35" t="str">
        <f t="shared" si="18"/>
        <v/>
      </c>
      <c r="F1359" s="35" t="str">
        <f t="shared" si="19"/>
        <v/>
      </c>
      <c r="G1359" s="35" t="str">
        <f t="shared" si="20"/>
        <v/>
      </c>
      <c r="H1359" s="49"/>
      <c r="I1359" s="47" t="str">
        <f t="shared" si="21"/>
        <v/>
      </c>
      <c r="J1359" s="50"/>
      <c r="K1359" s="45" t="b">
        <v>0</v>
      </c>
      <c r="L1359" s="45"/>
      <c r="M1359" s="45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6"/>
      <c r="AF1359" s="26"/>
      <c r="AG1359" s="26"/>
      <c r="AH1359" s="26"/>
      <c r="AI1359" s="26"/>
      <c r="AJ1359" s="26"/>
      <c r="AK1359" s="2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46"/>
      <c r="BM1359" s="46"/>
      <c r="BN1359" s="46"/>
      <c r="BO1359" s="46"/>
    </row>
    <row r="1360">
      <c r="A1360" s="16" t="str">
        <f t="shared" si="14"/>
        <v/>
      </c>
      <c r="B1360" s="16" t="str">
        <f t="shared" si="15"/>
        <v/>
      </c>
      <c r="C1360" s="35" t="str">
        <f t="shared" si="16"/>
        <v/>
      </c>
      <c r="D1360" s="35" t="str">
        <f t="shared" si="17"/>
        <v/>
      </c>
      <c r="E1360" s="35" t="str">
        <f t="shared" si="18"/>
        <v/>
      </c>
      <c r="F1360" s="35" t="str">
        <f t="shared" si="19"/>
        <v/>
      </c>
      <c r="G1360" s="35" t="str">
        <f t="shared" si="20"/>
        <v/>
      </c>
      <c r="H1360" s="49"/>
      <c r="I1360" s="47" t="str">
        <f t="shared" si="21"/>
        <v/>
      </c>
      <c r="J1360" s="50"/>
      <c r="K1360" s="45" t="b">
        <v>0</v>
      </c>
      <c r="L1360" s="45"/>
      <c r="M1360" s="45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6"/>
      <c r="AF1360" s="26"/>
      <c r="AG1360" s="26"/>
      <c r="AH1360" s="26"/>
      <c r="AI1360" s="26"/>
      <c r="AJ1360" s="26"/>
      <c r="AK1360" s="2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46"/>
      <c r="BM1360" s="46"/>
      <c r="BN1360" s="46"/>
      <c r="BO1360" s="46"/>
    </row>
    <row r="1361">
      <c r="A1361" s="16" t="str">
        <f t="shared" si="14"/>
        <v/>
      </c>
      <c r="B1361" s="16" t="str">
        <f t="shared" si="15"/>
        <v/>
      </c>
      <c r="C1361" s="35" t="str">
        <f t="shared" si="16"/>
        <v/>
      </c>
      <c r="D1361" s="35" t="str">
        <f t="shared" si="17"/>
        <v/>
      </c>
      <c r="E1361" s="35" t="str">
        <f t="shared" si="18"/>
        <v/>
      </c>
      <c r="F1361" s="35" t="str">
        <f t="shared" si="19"/>
        <v/>
      </c>
      <c r="G1361" s="35" t="str">
        <f t="shared" si="20"/>
        <v/>
      </c>
      <c r="H1361" s="49"/>
      <c r="I1361" s="47" t="str">
        <f t="shared" si="21"/>
        <v/>
      </c>
      <c r="J1361" s="50"/>
      <c r="K1361" s="45" t="b">
        <v>0</v>
      </c>
      <c r="L1361" s="45"/>
      <c r="M1361" s="45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46"/>
      <c r="BM1361" s="46"/>
      <c r="BN1361" s="46"/>
      <c r="BO1361" s="46"/>
    </row>
    <row r="1362">
      <c r="A1362" s="16" t="str">
        <f t="shared" si="14"/>
        <v/>
      </c>
      <c r="B1362" s="16" t="str">
        <f t="shared" si="15"/>
        <v/>
      </c>
      <c r="C1362" s="35" t="str">
        <f t="shared" si="16"/>
        <v/>
      </c>
      <c r="D1362" s="35" t="str">
        <f t="shared" si="17"/>
        <v/>
      </c>
      <c r="E1362" s="35" t="str">
        <f t="shared" si="18"/>
        <v/>
      </c>
      <c r="F1362" s="35" t="str">
        <f t="shared" si="19"/>
        <v/>
      </c>
      <c r="G1362" s="35" t="str">
        <f t="shared" si="20"/>
        <v/>
      </c>
      <c r="H1362" s="49"/>
      <c r="I1362" s="47" t="str">
        <f t="shared" si="21"/>
        <v/>
      </c>
      <c r="J1362" s="50"/>
      <c r="K1362" s="45" t="b">
        <v>0</v>
      </c>
      <c r="L1362" s="45"/>
      <c r="M1362" s="45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46"/>
      <c r="BM1362" s="46"/>
      <c r="BN1362" s="46"/>
      <c r="BO1362" s="46"/>
    </row>
    <row r="1363">
      <c r="A1363" s="16" t="str">
        <f t="shared" si="14"/>
        <v/>
      </c>
      <c r="B1363" s="16" t="str">
        <f t="shared" si="15"/>
        <v/>
      </c>
      <c r="C1363" s="35" t="str">
        <f t="shared" si="16"/>
        <v/>
      </c>
      <c r="D1363" s="35" t="str">
        <f t="shared" si="17"/>
        <v/>
      </c>
      <c r="E1363" s="35" t="str">
        <f t="shared" si="18"/>
        <v/>
      </c>
      <c r="F1363" s="35" t="str">
        <f t="shared" si="19"/>
        <v/>
      </c>
      <c r="G1363" s="35" t="str">
        <f t="shared" si="20"/>
        <v/>
      </c>
      <c r="H1363" s="49"/>
      <c r="I1363" s="47" t="str">
        <f t="shared" si="21"/>
        <v/>
      </c>
      <c r="J1363" s="50"/>
      <c r="K1363" s="45" t="b">
        <v>0</v>
      </c>
      <c r="L1363" s="45"/>
      <c r="M1363" s="45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46"/>
      <c r="BM1363" s="46"/>
      <c r="BN1363" s="46"/>
      <c r="BO1363" s="46"/>
    </row>
    <row r="1364">
      <c r="A1364" s="16" t="str">
        <f t="shared" si="14"/>
        <v/>
      </c>
      <c r="B1364" s="16" t="str">
        <f t="shared" si="15"/>
        <v/>
      </c>
      <c r="C1364" s="35" t="str">
        <f t="shared" si="16"/>
        <v/>
      </c>
      <c r="D1364" s="35" t="str">
        <f t="shared" si="17"/>
        <v/>
      </c>
      <c r="E1364" s="35" t="str">
        <f t="shared" si="18"/>
        <v/>
      </c>
      <c r="F1364" s="35" t="str">
        <f t="shared" si="19"/>
        <v/>
      </c>
      <c r="G1364" s="35" t="str">
        <f t="shared" si="20"/>
        <v/>
      </c>
      <c r="H1364" s="49"/>
      <c r="I1364" s="47" t="str">
        <f t="shared" si="21"/>
        <v/>
      </c>
      <c r="J1364" s="50"/>
      <c r="K1364" s="45" t="b">
        <v>0</v>
      </c>
      <c r="L1364" s="45"/>
      <c r="M1364" s="45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46"/>
      <c r="BM1364" s="46"/>
      <c r="BN1364" s="46"/>
      <c r="BO1364" s="46"/>
    </row>
    <row r="1365">
      <c r="A1365" s="16" t="str">
        <f t="shared" si="14"/>
        <v/>
      </c>
      <c r="B1365" s="16" t="str">
        <f t="shared" si="15"/>
        <v/>
      </c>
      <c r="C1365" s="35" t="str">
        <f t="shared" si="16"/>
        <v/>
      </c>
      <c r="D1365" s="35" t="str">
        <f t="shared" si="17"/>
        <v/>
      </c>
      <c r="E1365" s="35" t="str">
        <f t="shared" si="18"/>
        <v/>
      </c>
      <c r="F1365" s="35" t="str">
        <f t="shared" si="19"/>
        <v/>
      </c>
      <c r="G1365" s="35" t="str">
        <f t="shared" si="20"/>
        <v/>
      </c>
      <c r="H1365" s="49"/>
      <c r="I1365" s="47" t="str">
        <f t="shared" si="21"/>
        <v/>
      </c>
      <c r="J1365" s="50"/>
      <c r="K1365" s="45" t="b">
        <v>0</v>
      </c>
      <c r="L1365" s="45"/>
      <c r="M1365" s="45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46"/>
      <c r="BM1365" s="46"/>
      <c r="BN1365" s="46"/>
      <c r="BO1365" s="46"/>
    </row>
    <row r="1366">
      <c r="A1366" s="16" t="str">
        <f t="shared" si="14"/>
        <v/>
      </c>
      <c r="B1366" s="16" t="str">
        <f t="shared" si="15"/>
        <v/>
      </c>
      <c r="C1366" s="35" t="str">
        <f t="shared" si="16"/>
        <v/>
      </c>
      <c r="D1366" s="35" t="str">
        <f t="shared" si="17"/>
        <v/>
      </c>
      <c r="E1366" s="35" t="str">
        <f t="shared" si="18"/>
        <v/>
      </c>
      <c r="F1366" s="35" t="str">
        <f t="shared" si="19"/>
        <v/>
      </c>
      <c r="G1366" s="35" t="str">
        <f t="shared" si="20"/>
        <v/>
      </c>
      <c r="H1366" s="49"/>
      <c r="I1366" s="47" t="str">
        <f t="shared" si="21"/>
        <v/>
      </c>
      <c r="J1366" s="50"/>
      <c r="K1366" s="45" t="b">
        <v>0</v>
      </c>
      <c r="L1366" s="45"/>
      <c r="M1366" s="45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46"/>
      <c r="BM1366" s="46"/>
      <c r="BN1366" s="46"/>
      <c r="BO1366" s="46"/>
    </row>
    <row r="1367">
      <c r="A1367" s="16" t="str">
        <f t="shared" si="14"/>
        <v/>
      </c>
      <c r="B1367" s="16" t="str">
        <f t="shared" si="15"/>
        <v/>
      </c>
      <c r="C1367" s="35" t="str">
        <f t="shared" si="16"/>
        <v/>
      </c>
      <c r="D1367" s="35" t="str">
        <f t="shared" si="17"/>
        <v/>
      </c>
      <c r="E1367" s="35" t="str">
        <f t="shared" si="18"/>
        <v/>
      </c>
      <c r="F1367" s="35" t="str">
        <f t="shared" si="19"/>
        <v/>
      </c>
      <c r="G1367" s="35" t="str">
        <f t="shared" si="20"/>
        <v/>
      </c>
      <c r="H1367" s="49"/>
      <c r="I1367" s="47" t="str">
        <f t="shared" si="21"/>
        <v/>
      </c>
      <c r="J1367" s="50"/>
      <c r="K1367" s="45" t="b">
        <v>0</v>
      </c>
      <c r="L1367" s="45"/>
      <c r="M1367" s="45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46"/>
      <c r="BM1367" s="46"/>
      <c r="BN1367" s="46"/>
      <c r="BO1367" s="46"/>
    </row>
    <row r="1368">
      <c r="A1368" s="16" t="str">
        <f t="shared" si="14"/>
        <v/>
      </c>
      <c r="B1368" s="16" t="str">
        <f t="shared" si="15"/>
        <v/>
      </c>
      <c r="C1368" s="35" t="str">
        <f t="shared" si="16"/>
        <v/>
      </c>
      <c r="D1368" s="35" t="str">
        <f t="shared" si="17"/>
        <v/>
      </c>
      <c r="E1368" s="35" t="str">
        <f t="shared" si="18"/>
        <v/>
      </c>
      <c r="F1368" s="35" t="str">
        <f t="shared" si="19"/>
        <v/>
      </c>
      <c r="G1368" s="35" t="str">
        <f t="shared" si="20"/>
        <v/>
      </c>
      <c r="H1368" s="49"/>
      <c r="I1368" s="47" t="str">
        <f t="shared" si="21"/>
        <v/>
      </c>
      <c r="J1368" s="50"/>
      <c r="K1368" s="45" t="b">
        <v>0</v>
      </c>
      <c r="L1368" s="45"/>
      <c r="M1368" s="45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46"/>
      <c r="BM1368" s="46"/>
      <c r="BN1368" s="46"/>
      <c r="BO1368" s="46"/>
    </row>
    <row r="1369">
      <c r="A1369" s="16" t="str">
        <f t="shared" si="14"/>
        <v/>
      </c>
      <c r="B1369" s="16" t="str">
        <f t="shared" si="15"/>
        <v/>
      </c>
      <c r="C1369" s="35" t="str">
        <f t="shared" si="16"/>
        <v/>
      </c>
      <c r="D1369" s="35" t="str">
        <f t="shared" si="17"/>
        <v/>
      </c>
      <c r="E1369" s="35" t="str">
        <f t="shared" si="18"/>
        <v/>
      </c>
      <c r="F1369" s="35" t="str">
        <f t="shared" si="19"/>
        <v/>
      </c>
      <c r="G1369" s="35" t="str">
        <f t="shared" si="20"/>
        <v/>
      </c>
      <c r="H1369" s="49"/>
      <c r="I1369" s="47" t="str">
        <f t="shared" si="21"/>
        <v/>
      </c>
      <c r="J1369" s="50"/>
      <c r="K1369" s="45" t="b">
        <v>0</v>
      </c>
      <c r="L1369" s="45"/>
      <c r="M1369" s="45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46"/>
      <c r="BM1369" s="46"/>
      <c r="BN1369" s="46"/>
      <c r="BO1369" s="46"/>
    </row>
    <row r="1370">
      <c r="A1370" s="16" t="str">
        <f t="shared" si="14"/>
        <v/>
      </c>
      <c r="B1370" s="16" t="str">
        <f t="shared" si="15"/>
        <v/>
      </c>
      <c r="C1370" s="35" t="str">
        <f t="shared" si="16"/>
        <v/>
      </c>
      <c r="D1370" s="35" t="str">
        <f t="shared" si="17"/>
        <v/>
      </c>
      <c r="E1370" s="35" t="str">
        <f t="shared" si="18"/>
        <v/>
      </c>
      <c r="F1370" s="35" t="str">
        <f t="shared" si="19"/>
        <v/>
      </c>
      <c r="G1370" s="35" t="str">
        <f t="shared" si="20"/>
        <v/>
      </c>
      <c r="H1370" s="49"/>
      <c r="I1370" s="47" t="str">
        <f t="shared" si="21"/>
        <v/>
      </c>
      <c r="J1370" s="50"/>
      <c r="K1370" s="45" t="b">
        <v>0</v>
      </c>
      <c r="L1370" s="45"/>
      <c r="M1370" s="45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46"/>
      <c r="BM1370" s="46"/>
      <c r="BN1370" s="46"/>
      <c r="BO1370" s="46"/>
    </row>
    <row r="1371">
      <c r="A1371" s="16" t="str">
        <f t="shared" si="14"/>
        <v/>
      </c>
      <c r="B1371" s="16" t="str">
        <f t="shared" si="15"/>
        <v/>
      </c>
      <c r="C1371" s="35" t="str">
        <f t="shared" si="16"/>
        <v/>
      </c>
      <c r="D1371" s="35" t="str">
        <f t="shared" si="17"/>
        <v/>
      </c>
      <c r="E1371" s="35" t="str">
        <f t="shared" si="18"/>
        <v/>
      </c>
      <c r="F1371" s="35" t="str">
        <f t="shared" si="19"/>
        <v/>
      </c>
      <c r="G1371" s="35" t="str">
        <f t="shared" si="20"/>
        <v/>
      </c>
      <c r="H1371" s="49"/>
      <c r="I1371" s="47" t="str">
        <f t="shared" si="21"/>
        <v/>
      </c>
      <c r="J1371" s="50"/>
      <c r="K1371" s="45" t="b">
        <v>0</v>
      </c>
      <c r="L1371" s="45"/>
      <c r="M1371" s="45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46"/>
      <c r="BM1371" s="46"/>
      <c r="BN1371" s="46"/>
      <c r="BO1371" s="46"/>
    </row>
    <row r="1372">
      <c r="A1372" s="16" t="str">
        <f t="shared" si="14"/>
        <v/>
      </c>
      <c r="B1372" s="16" t="str">
        <f t="shared" si="15"/>
        <v/>
      </c>
      <c r="C1372" s="35" t="str">
        <f t="shared" si="16"/>
        <v/>
      </c>
      <c r="D1372" s="35" t="str">
        <f t="shared" si="17"/>
        <v/>
      </c>
      <c r="E1372" s="35" t="str">
        <f t="shared" si="18"/>
        <v/>
      </c>
      <c r="F1372" s="35" t="str">
        <f t="shared" si="19"/>
        <v/>
      </c>
      <c r="G1372" s="35" t="str">
        <f t="shared" si="20"/>
        <v/>
      </c>
      <c r="H1372" s="49"/>
      <c r="I1372" s="47" t="str">
        <f t="shared" si="21"/>
        <v/>
      </c>
      <c r="J1372" s="50"/>
      <c r="K1372" s="45" t="b">
        <v>0</v>
      </c>
      <c r="L1372" s="45"/>
      <c r="M1372" s="45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46"/>
      <c r="BM1372" s="46"/>
      <c r="BN1372" s="46"/>
      <c r="BO1372" s="46"/>
    </row>
    <row r="1373">
      <c r="A1373" s="16" t="str">
        <f t="shared" si="14"/>
        <v/>
      </c>
      <c r="B1373" s="16" t="str">
        <f t="shared" si="15"/>
        <v/>
      </c>
      <c r="C1373" s="35" t="str">
        <f t="shared" si="16"/>
        <v/>
      </c>
      <c r="D1373" s="35" t="str">
        <f t="shared" si="17"/>
        <v/>
      </c>
      <c r="E1373" s="35" t="str">
        <f t="shared" si="18"/>
        <v/>
      </c>
      <c r="F1373" s="35" t="str">
        <f t="shared" si="19"/>
        <v/>
      </c>
      <c r="G1373" s="35" t="str">
        <f t="shared" si="20"/>
        <v/>
      </c>
      <c r="H1373" s="49"/>
      <c r="I1373" s="47" t="str">
        <f t="shared" si="21"/>
        <v/>
      </c>
      <c r="J1373" s="50"/>
      <c r="K1373" s="45" t="b">
        <v>0</v>
      </c>
      <c r="L1373" s="45"/>
      <c r="M1373" s="45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  <c r="AG1373" s="26"/>
      <c r="AH1373" s="26"/>
      <c r="AI1373" s="26"/>
      <c r="AJ1373" s="26"/>
      <c r="AK1373" s="2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46"/>
      <c r="BM1373" s="46"/>
      <c r="BN1373" s="46"/>
      <c r="BO1373" s="46"/>
    </row>
    <row r="1374">
      <c r="A1374" s="16" t="str">
        <f t="shared" si="14"/>
        <v/>
      </c>
      <c r="B1374" s="16" t="str">
        <f t="shared" si="15"/>
        <v/>
      </c>
      <c r="C1374" s="35" t="str">
        <f t="shared" si="16"/>
        <v/>
      </c>
      <c r="D1374" s="35" t="str">
        <f t="shared" si="17"/>
        <v/>
      </c>
      <c r="E1374" s="35" t="str">
        <f t="shared" si="18"/>
        <v/>
      </c>
      <c r="F1374" s="35" t="str">
        <f t="shared" si="19"/>
        <v/>
      </c>
      <c r="G1374" s="35" t="str">
        <f t="shared" si="20"/>
        <v/>
      </c>
      <c r="H1374" s="49"/>
      <c r="I1374" s="47" t="str">
        <f t="shared" si="21"/>
        <v/>
      </c>
      <c r="J1374" s="50"/>
      <c r="K1374" s="45" t="b">
        <v>0</v>
      </c>
      <c r="L1374" s="45"/>
      <c r="M1374" s="45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  <c r="AD1374" s="26"/>
      <c r="AE1374" s="26"/>
      <c r="AF1374" s="26"/>
      <c r="AG1374" s="26"/>
      <c r="AH1374" s="26"/>
      <c r="AI1374" s="26"/>
      <c r="AJ1374" s="26"/>
      <c r="AK1374" s="2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46"/>
      <c r="BM1374" s="46"/>
      <c r="BN1374" s="46"/>
      <c r="BO1374" s="46"/>
    </row>
    <row r="1375">
      <c r="A1375" s="16" t="str">
        <f t="shared" si="14"/>
        <v/>
      </c>
      <c r="B1375" s="16" t="str">
        <f t="shared" si="15"/>
        <v/>
      </c>
      <c r="C1375" s="35" t="str">
        <f t="shared" si="16"/>
        <v/>
      </c>
      <c r="D1375" s="35" t="str">
        <f t="shared" si="17"/>
        <v/>
      </c>
      <c r="E1375" s="35" t="str">
        <f t="shared" si="18"/>
        <v/>
      </c>
      <c r="F1375" s="35" t="str">
        <f t="shared" si="19"/>
        <v/>
      </c>
      <c r="G1375" s="35" t="str">
        <f t="shared" si="20"/>
        <v/>
      </c>
      <c r="H1375" s="49"/>
      <c r="I1375" s="47" t="str">
        <f t="shared" si="21"/>
        <v/>
      </c>
      <c r="J1375" s="50"/>
      <c r="K1375" s="45" t="b">
        <v>0</v>
      </c>
      <c r="L1375" s="45"/>
      <c r="M1375" s="45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  <c r="AD1375" s="26"/>
      <c r="AE1375" s="26"/>
      <c r="AF1375" s="26"/>
      <c r="AG1375" s="26"/>
      <c r="AH1375" s="26"/>
      <c r="AI1375" s="26"/>
      <c r="AJ1375" s="26"/>
      <c r="AK1375" s="2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46"/>
      <c r="BM1375" s="46"/>
      <c r="BN1375" s="46"/>
      <c r="BO1375" s="46"/>
    </row>
    <row r="1376">
      <c r="A1376" s="16" t="str">
        <f t="shared" si="14"/>
        <v/>
      </c>
      <c r="B1376" s="16" t="str">
        <f t="shared" si="15"/>
        <v/>
      </c>
      <c r="C1376" s="35" t="str">
        <f t="shared" si="16"/>
        <v/>
      </c>
      <c r="D1376" s="35" t="str">
        <f t="shared" si="17"/>
        <v/>
      </c>
      <c r="E1376" s="35" t="str">
        <f t="shared" si="18"/>
        <v/>
      </c>
      <c r="F1376" s="35" t="str">
        <f t="shared" si="19"/>
        <v/>
      </c>
      <c r="G1376" s="35" t="str">
        <f t="shared" si="20"/>
        <v/>
      </c>
      <c r="H1376" s="49"/>
      <c r="I1376" s="47" t="str">
        <f t="shared" si="21"/>
        <v/>
      </c>
      <c r="J1376" s="50"/>
      <c r="K1376" s="45" t="b">
        <v>0</v>
      </c>
      <c r="L1376" s="45"/>
      <c r="M1376" s="45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46"/>
      <c r="BM1376" s="46"/>
      <c r="BN1376" s="46"/>
      <c r="BO1376" s="46"/>
    </row>
    <row r="1377">
      <c r="A1377" s="16" t="str">
        <f t="shared" si="14"/>
        <v/>
      </c>
      <c r="B1377" s="16" t="str">
        <f t="shared" si="15"/>
        <v/>
      </c>
      <c r="C1377" s="35" t="str">
        <f t="shared" si="16"/>
        <v/>
      </c>
      <c r="D1377" s="35" t="str">
        <f t="shared" si="17"/>
        <v/>
      </c>
      <c r="E1377" s="35" t="str">
        <f t="shared" si="18"/>
        <v/>
      </c>
      <c r="F1377" s="35" t="str">
        <f t="shared" si="19"/>
        <v/>
      </c>
      <c r="G1377" s="35" t="str">
        <f t="shared" si="20"/>
        <v/>
      </c>
      <c r="H1377" s="49"/>
      <c r="I1377" s="47" t="str">
        <f t="shared" si="21"/>
        <v/>
      </c>
      <c r="J1377" s="50"/>
      <c r="K1377" s="45" t="b">
        <v>0</v>
      </c>
      <c r="L1377" s="45"/>
      <c r="M1377" s="45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6"/>
      <c r="AF1377" s="26"/>
      <c r="AG1377" s="26"/>
      <c r="AH1377" s="26"/>
      <c r="AI1377" s="26"/>
      <c r="AJ1377" s="26"/>
      <c r="AK1377" s="2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46"/>
      <c r="BM1377" s="46"/>
      <c r="BN1377" s="46"/>
      <c r="BO1377" s="46"/>
    </row>
    <row r="1378">
      <c r="A1378" s="16" t="str">
        <f t="shared" si="14"/>
        <v/>
      </c>
      <c r="B1378" s="16" t="str">
        <f t="shared" si="15"/>
        <v/>
      </c>
      <c r="C1378" s="35" t="str">
        <f t="shared" si="16"/>
        <v/>
      </c>
      <c r="D1378" s="35" t="str">
        <f t="shared" si="17"/>
        <v/>
      </c>
      <c r="E1378" s="35" t="str">
        <f t="shared" si="18"/>
        <v/>
      </c>
      <c r="F1378" s="35" t="str">
        <f t="shared" si="19"/>
        <v/>
      </c>
      <c r="G1378" s="35" t="str">
        <f t="shared" si="20"/>
        <v/>
      </c>
      <c r="H1378" s="49"/>
      <c r="I1378" s="47" t="str">
        <f t="shared" si="21"/>
        <v/>
      </c>
      <c r="J1378" s="50"/>
      <c r="K1378" s="45" t="b">
        <v>0</v>
      </c>
      <c r="L1378" s="45"/>
      <c r="M1378" s="45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6"/>
      <c r="AI1378" s="26"/>
      <c r="AJ1378" s="26"/>
      <c r="AK1378" s="2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46"/>
      <c r="BM1378" s="46"/>
      <c r="BN1378" s="46"/>
      <c r="BO1378" s="46"/>
    </row>
    <row r="1379">
      <c r="A1379" s="16" t="str">
        <f t="shared" si="14"/>
        <v/>
      </c>
      <c r="B1379" s="16" t="str">
        <f t="shared" si="15"/>
        <v/>
      </c>
      <c r="C1379" s="35" t="str">
        <f t="shared" si="16"/>
        <v/>
      </c>
      <c r="D1379" s="35" t="str">
        <f t="shared" si="17"/>
        <v/>
      </c>
      <c r="E1379" s="35" t="str">
        <f t="shared" si="18"/>
        <v/>
      </c>
      <c r="F1379" s="35" t="str">
        <f t="shared" si="19"/>
        <v/>
      </c>
      <c r="G1379" s="35" t="str">
        <f t="shared" si="20"/>
        <v/>
      </c>
      <c r="H1379" s="49"/>
      <c r="I1379" s="47" t="str">
        <f t="shared" si="21"/>
        <v/>
      </c>
      <c r="J1379" s="50"/>
      <c r="K1379" s="45" t="b">
        <v>0</v>
      </c>
      <c r="L1379" s="45"/>
      <c r="M1379" s="45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6"/>
      <c r="AF1379" s="26"/>
      <c r="AG1379" s="26"/>
      <c r="AH1379" s="26"/>
      <c r="AI1379" s="26"/>
      <c r="AJ1379" s="26"/>
      <c r="AK1379" s="2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46"/>
      <c r="BM1379" s="46"/>
      <c r="BN1379" s="46"/>
      <c r="BO1379" s="46"/>
    </row>
    <row r="1380">
      <c r="A1380" s="16" t="str">
        <f t="shared" si="14"/>
        <v/>
      </c>
      <c r="B1380" s="16" t="str">
        <f t="shared" si="15"/>
        <v/>
      </c>
      <c r="C1380" s="35" t="str">
        <f t="shared" si="16"/>
        <v/>
      </c>
      <c r="D1380" s="35" t="str">
        <f t="shared" si="17"/>
        <v/>
      </c>
      <c r="E1380" s="35" t="str">
        <f t="shared" si="18"/>
        <v/>
      </c>
      <c r="F1380" s="35" t="str">
        <f t="shared" si="19"/>
        <v/>
      </c>
      <c r="G1380" s="35" t="str">
        <f t="shared" si="20"/>
        <v/>
      </c>
      <c r="H1380" s="49"/>
      <c r="I1380" s="47" t="str">
        <f t="shared" si="21"/>
        <v/>
      </c>
      <c r="J1380" s="50"/>
      <c r="K1380" s="45" t="b">
        <v>0</v>
      </c>
      <c r="L1380" s="45"/>
      <c r="M1380" s="45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6"/>
      <c r="AF1380" s="26"/>
      <c r="AG1380" s="26"/>
      <c r="AH1380" s="26"/>
      <c r="AI1380" s="26"/>
      <c r="AJ1380" s="26"/>
      <c r="AK1380" s="2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46"/>
      <c r="BM1380" s="46"/>
      <c r="BN1380" s="46"/>
      <c r="BO1380" s="46"/>
    </row>
    <row r="1381">
      <c r="A1381" s="16" t="str">
        <f t="shared" si="14"/>
        <v/>
      </c>
      <c r="B1381" s="16" t="str">
        <f t="shared" si="15"/>
        <v/>
      </c>
      <c r="C1381" s="35" t="str">
        <f t="shared" si="16"/>
        <v/>
      </c>
      <c r="D1381" s="35" t="str">
        <f t="shared" si="17"/>
        <v/>
      </c>
      <c r="E1381" s="35" t="str">
        <f t="shared" si="18"/>
        <v/>
      </c>
      <c r="F1381" s="35" t="str">
        <f t="shared" si="19"/>
        <v/>
      </c>
      <c r="G1381" s="35" t="str">
        <f t="shared" si="20"/>
        <v/>
      </c>
      <c r="H1381" s="49"/>
      <c r="I1381" s="47" t="str">
        <f t="shared" si="21"/>
        <v/>
      </c>
      <c r="J1381" s="50"/>
      <c r="K1381" s="45" t="b">
        <v>0</v>
      </c>
      <c r="L1381" s="45"/>
      <c r="M1381" s="45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  <c r="AC1381" s="26"/>
      <c r="AD1381" s="26"/>
      <c r="AE1381" s="26"/>
      <c r="AF1381" s="26"/>
      <c r="AG1381" s="26"/>
      <c r="AH1381" s="26"/>
      <c r="AI1381" s="26"/>
      <c r="AJ1381" s="26"/>
      <c r="AK1381" s="2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46"/>
      <c r="BM1381" s="46"/>
      <c r="BN1381" s="46"/>
      <c r="BO1381" s="46"/>
    </row>
    <row r="1382">
      <c r="A1382" s="16" t="str">
        <f t="shared" si="14"/>
        <v/>
      </c>
      <c r="B1382" s="16" t="str">
        <f t="shared" si="15"/>
        <v/>
      </c>
      <c r="C1382" s="35" t="str">
        <f t="shared" si="16"/>
        <v/>
      </c>
      <c r="D1382" s="35" t="str">
        <f t="shared" si="17"/>
        <v/>
      </c>
      <c r="E1382" s="35" t="str">
        <f t="shared" si="18"/>
        <v/>
      </c>
      <c r="F1382" s="35" t="str">
        <f t="shared" si="19"/>
        <v/>
      </c>
      <c r="G1382" s="35" t="str">
        <f t="shared" si="20"/>
        <v/>
      </c>
      <c r="H1382" s="49"/>
      <c r="I1382" s="47" t="str">
        <f t="shared" si="21"/>
        <v/>
      </c>
      <c r="J1382" s="50"/>
      <c r="K1382" s="45" t="b">
        <v>0</v>
      </c>
      <c r="L1382" s="45"/>
      <c r="M1382" s="45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6"/>
      <c r="AH1382" s="26"/>
      <c r="AI1382" s="26"/>
      <c r="AJ1382" s="26"/>
      <c r="AK1382" s="2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/>
    </row>
    <row r="1383">
      <c r="A1383" s="16" t="str">
        <f t="shared" si="14"/>
        <v/>
      </c>
      <c r="B1383" s="16" t="str">
        <f t="shared" si="15"/>
        <v/>
      </c>
      <c r="C1383" s="35" t="str">
        <f t="shared" si="16"/>
        <v/>
      </c>
      <c r="D1383" s="35" t="str">
        <f t="shared" si="17"/>
        <v/>
      </c>
      <c r="E1383" s="35" t="str">
        <f t="shared" si="18"/>
        <v/>
      </c>
      <c r="F1383" s="35" t="str">
        <f t="shared" si="19"/>
        <v/>
      </c>
      <c r="G1383" s="35" t="str">
        <f t="shared" si="20"/>
        <v/>
      </c>
      <c r="H1383" s="49"/>
      <c r="I1383" s="47" t="str">
        <f t="shared" si="21"/>
        <v/>
      </c>
      <c r="J1383" s="50"/>
      <c r="K1383" s="45" t="b">
        <v>0</v>
      </c>
      <c r="L1383" s="45"/>
      <c r="M1383" s="45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  <c r="AD1383" s="26"/>
      <c r="AE1383" s="26"/>
      <c r="AF1383" s="26"/>
      <c r="AG1383" s="26"/>
      <c r="AH1383" s="26"/>
      <c r="AI1383" s="26"/>
      <c r="AJ1383" s="26"/>
      <c r="AK1383" s="2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46"/>
      <c r="BM1383" s="46"/>
      <c r="BN1383" s="46"/>
      <c r="BO1383" s="46"/>
    </row>
    <row r="1384">
      <c r="A1384" s="16" t="str">
        <f t="shared" si="14"/>
        <v/>
      </c>
      <c r="B1384" s="16" t="str">
        <f t="shared" si="15"/>
        <v/>
      </c>
      <c r="C1384" s="35" t="str">
        <f t="shared" si="16"/>
        <v/>
      </c>
      <c r="D1384" s="35" t="str">
        <f t="shared" si="17"/>
        <v/>
      </c>
      <c r="E1384" s="35" t="str">
        <f t="shared" si="18"/>
        <v/>
      </c>
      <c r="F1384" s="35" t="str">
        <f t="shared" si="19"/>
        <v/>
      </c>
      <c r="G1384" s="35" t="str">
        <f t="shared" si="20"/>
        <v/>
      </c>
      <c r="H1384" s="49"/>
      <c r="I1384" s="47" t="str">
        <f t="shared" si="21"/>
        <v/>
      </c>
      <c r="J1384" s="50"/>
      <c r="K1384" s="45" t="b">
        <v>0</v>
      </c>
      <c r="L1384" s="45"/>
      <c r="M1384" s="45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  <c r="AC1384" s="26"/>
      <c r="AD1384" s="26"/>
      <c r="AE1384" s="26"/>
      <c r="AF1384" s="26"/>
      <c r="AG1384" s="26"/>
      <c r="AH1384" s="26"/>
      <c r="AI1384" s="26"/>
      <c r="AJ1384" s="26"/>
      <c r="AK1384" s="2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46"/>
      <c r="BM1384" s="46"/>
      <c r="BN1384" s="46"/>
      <c r="BO1384" s="46"/>
    </row>
    <row r="1385">
      <c r="A1385" s="16" t="str">
        <f t="shared" si="14"/>
        <v/>
      </c>
      <c r="B1385" s="16" t="str">
        <f t="shared" si="15"/>
        <v/>
      </c>
      <c r="C1385" s="35" t="str">
        <f t="shared" si="16"/>
        <v/>
      </c>
      <c r="D1385" s="35" t="str">
        <f t="shared" si="17"/>
        <v/>
      </c>
      <c r="E1385" s="35" t="str">
        <f t="shared" si="18"/>
        <v/>
      </c>
      <c r="F1385" s="35" t="str">
        <f t="shared" si="19"/>
        <v/>
      </c>
      <c r="G1385" s="35" t="str">
        <f t="shared" si="20"/>
        <v/>
      </c>
      <c r="H1385" s="49"/>
      <c r="I1385" s="47" t="str">
        <f t="shared" si="21"/>
        <v/>
      </c>
      <c r="J1385" s="50"/>
      <c r="K1385" s="45" t="b">
        <v>0</v>
      </c>
      <c r="L1385" s="45"/>
      <c r="M1385" s="45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  <c r="AC1385" s="26"/>
      <c r="AD1385" s="26"/>
      <c r="AE1385" s="26"/>
      <c r="AF1385" s="26"/>
      <c r="AG1385" s="26"/>
      <c r="AH1385" s="26"/>
      <c r="AI1385" s="26"/>
      <c r="AJ1385" s="26"/>
      <c r="AK1385" s="2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46"/>
      <c r="BM1385" s="46"/>
      <c r="BN1385" s="46"/>
      <c r="BO1385" s="46"/>
    </row>
    <row r="1386">
      <c r="A1386" s="16" t="str">
        <f t="shared" si="14"/>
        <v/>
      </c>
      <c r="B1386" s="16" t="str">
        <f t="shared" si="15"/>
        <v/>
      </c>
      <c r="C1386" s="35" t="str">
        <f t="shared" si="16"/>
        <v/>
      </c>
      <c r="D1386" s="35" t="str">
        <f t="shared" si="17"/>
        <v/>
      </c>
      <c r="E1386" s="35" t="str">
        <f t="shared" si="18"/>
        <v/>
      </c>
      <c r="F1386" s="35" t="str">
        <f t="shared" si="19"/>
        <v/>
      </c>
      <c r="G1386" s="35" t="str">
        <f t="shared" si="20"/>
        <v/>
      </c>
      <c r="H1386" s="49"/>
      <c r="I1386" s="47" t="str">
        <f t="shared" si="21"/>
        <v/>
      </c>
      <c r="J1386" s="50"/>
      <c r="K1386" s="45" t="b">
        <v>0</v>
      </c>
      <c r="L1386" s="45"/>
      <c r="M1386" s="45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  <c r="AD1386" s="26"/>
      <c r="AE1386" s="26"/>
      <c r="AF1386" s="26"/>
      <c r="AG1386" s="26"/>
      <c r="AH1386" s="26"/>
      <c r="AI1386" s="26"/>
      <c r="AJ1386" s="26"/>
      <c r="AK1386" s="2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</row>
    <row r="1387">
      <c r="A1387" s="16" t="str">
        <f t="shared" si="14"/>
        <v/>
      </c>
      <c r="B1387" s="16" t="str">
        <f t="shared" si="15"/>
        <v/>
      </c>
      <c r="C1387" s="35" t="str">
        <f t="shared" si="16"/>
        <v/>
      </c>
      <c r="D1387" s="35" t="str">
        <f t="shared" si="17"/>
        <v/>
      </c>
      <c r="E1387" s="35" t="str">
        <f t="shared" si="18"/>
        <v/>
      </c>
      <c r="F1387" s="35" t="str">
        <f t="shared" si="19"/>
        <v/>
      </c>
      <c r="G1387" s="35" t="str">
        <f t="shared" si="20"/>
        <v/>
      </c>
      <c r="H1387" s="49"/>
      <c r="I1387" s="47" t="str">
        <f t="shared" si="21"/>
        <v/>
      </c>
      <c r="J1387" s="50"/>
      <c r="K1387" s="45" t="b">
        <v>0</v>
      </c>
      <c r="L1387" s="45"/>
      <c r="M1387" s="45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  <c r="AD1387" s="26"/>
      <c r="AE1387" s="26"/>
      <c r="AF1387" s="26"/>
      <c r="AG1387" s="26"/>
      <c r="AH1387" s="26"/>
      <c r="AI1387" s="26"/>
      <c r="AJ1387" s="26"/>
      <c r="AK1387" s="2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46"/>
      <c r="BM1387" s="46"/>
      <c r="BN1387" s="46"/>
      <c r="BO1387" s="46"/>
    </row>
    <row r="1388">
      <c r="A1388" s="16" t="str">
        <f t="shared" si="14"/>
        <v/>
      </c>
      <c r="B1388" s="16" t="str">
        <f t="shared" si="15"/>
        <v/>
      </c>
      <c r="C1388" s="35" t="str">
        <f t="shared" si="16"/>
        <v/>
      </c>
      <c r="D1388" s="35" t="str">
        <f t="shared" si="17"/>
        <v/>
      </c>
      <c r="E1388" s="35" t="str">
        <f t="shared" si="18"/>
        <v/>
      </c>
      <c r="F1388" s="35" t="str">
        <f t="shared" si="19"/>
        <v/>
      </c>
      <c r="G1388" s="35" t="str">
        <f t="shared" si="20"/>
        <v/>
      </c>
      <c r="H1388" s="49"/>
      <c r="I1388" s="47" t="str">
        <f t="shared" si="21"/>
        <v/>
      </c>
      <c r="J1388" s="50"/>
      <c r="K1388" s="45" t="b">
        <v>0</v>
      </c>
      <c r="L1388" s="45"/>
      <c r="M1388" s="45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  <c r="AD1388" s="26"/>
      <c r="AE1388" s="26"/>
      <c r="AF1388" s="26"/>
      <c r="AG1388" s="26"/>
      <c r="AH1388" s="26"/>
      <c r="AI1388" s="26"/>
      <c r="AJ1388" s="26"/>
      <c r="AK1388" s="2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46"/>
      <c r="BM1388" s="46"/>
      <c r="BN1388" s="46"/>
      <c r="BO1388" s="46"/>
    </row>
    <row r="1389">
      <c r="A1389" s="16" t="str">
        <f t="shared" si="14"/>
        <v/>
      </c>
      <c r="B1389" s="16" t="str">
        <f t="shared" si="15"/>
        <v/>
      </c>
      <c r="C1389" s="35" t="str">
        <f t="shared" si="16"/>
        <v/>
      </c>
      <c r="D1389" s="35" t="str">
        <f t="shared" si="17"/>
        <v/>
      </c>
      <c r="E1389" s="35" t="str">
        <f t="shared" si="18"/>
        <v/>
      </c>
      <c r="F1389" s="35" t="str">
        <f t="shared" si="19"/>
        <v/>
      </c>
      <c r="G1389" s="35" t="str">
        <f t="shared" si="20"/>
        <v/>
      </c>
      <c r="H1389" s="49"/>
      <c r="I1389" s="47" t="str">
        <f t="shared" si="21"/>
        <v/>
      </c>
      <c r="J1389" s="50"/>
      <c r="K1389" s="45" t="b">
        <v>0</v>
      </c>
      <c r="L1389" s="45"/>
      <c r="M1389" s="45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  <c r="AD1389" s="26"/>
      <c r="AE1389" s="26"/>
      <c r="AF1389" s="26"/>
      <c r="AG1389" s="26"/>
      <c r="AH1389" s="26"/>
      <c r="AI1389" s="26"/>
      <c r="AJ1389" s="26"/>
      <c r="AK1389" s="2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46"/>
      <c r="BM1389" s="46"/>
      <c r="BN1389" s="46"/>
      <c r="BO1389" s="46"/>
    </row>
    <row r="1390">
      <c r="A1390" s="16" t="str">
        <f t="shared" si="14"/>
        <v/>
      </c>
      <c r="B1390" s="16" t="str">
        <f t="shared" si="15"/>
        <v/>
      </c>
      <c r="C1390" s="35" t="str">
        <f t="shared" si="16"/>
        <v/>
      </c>
      <c r="D1390" s="35" t="str">
        <f t="shared" si="17"/>
        <v/>
      </c>
      <c r="E1390" s="35" t="str">
        <f t="shared" si="18"/>
        <v/>
      </c>
      <c r="F1390" s="35" t="str">
        <f t="shared" si="19"/>
        <v/>
      </c>
      <c r="G1390" s="35" t="str">
        <f t="shared" si="20"/>
        <v/>
      </c>
      <c r="H1390" s="49"/>
      <c r="I1390" s="47" t="str">
        <f t="shared" si="21"/>
        <v/>
      </c>
      <c r="J1390" s="50"/>
      <c r="K1390" s="45" t="b">
        <v>0</v>
      </c>
      <c r="L1390" s="45"/>
      <c r="M1390" s="45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  <c r="AC1390" s="26"/>
      <c r="AD1390" s="26"/>
      <c r="AE1390" s="26"/>
      <c r="AF1390" s="26"/>
      <c r="AG1390" s="26"/>
      <c r="AH1390" s="26"/>
      <c r="AI1390" s="26"/>
      <c r="AJ1390" s="26"/>
      <c r="AK1390" s="2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/>
    </row>
    <row r="1391">
      <c r="A1391" s="16" t="str">
        <f t="shared" si="14"/>
        <v/>
      </c>
      <c r="B1391" s="16" t="str">
        <f t="shared" si="15"/>
        <v/>
      </c>
      <c r="C1391" s="35" t="str">
        <f t="shared" si="16"/>
        <v/>
      </c>
      <c r="D1391" s="35" t="str">
        <f t="shared" si="17"/>
        <v/>
      </c>
      <c r="E1391" s="35" t="str">
        <f t="shared" si="18"/>
        <v/>
      </c>
      <c r="F1391" s="35" t="str">
        <f t="shared" si="19"/>
        <v/>
      </c>
      <c r="G1391" s="35" t="str">
        <f t="shared" si="20"/>
        <v/>
      </c>
      <c r="H1391" s="49"/>
      <c r="I1391" s="47" t="str">
        <f t="shared" si="21"/>
        <v/>
      </c>
      <c r="J1391" s="50"/>
      <c r="K1391" s="45" t="b">
        <v>0</v>
      </c>
      <c r="L1391" s="45"/>
      <c r="M1391" s="45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  <c r="AC1391" s="26"/>
      <c r="AD1391" s="26"/>
      <c r="AE1391" s="26"/>
      <c r="AF1391" s="26"/>
      <c r="AG1391" s="26"/>
      <c r="AH1391" s="26"/>
      <c r="AI1391" s="26"/>
      <c r="AJ1391" s="26"/>
      <c r="AK1391" s="2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46"/>
      <c r="BM1391" s="46"/>
      <c r="BN1391" s="46"/>
      <c r="BO1391" s="46"/>
    </row>
    <row r="1392">
      <c r="A1392" s="16" t="str">
        <f t="shared" si="14"/>
        <v/>
      </c>
      <c r="B1392" s="16" t="str">
        <f t="shared" si="15"/>
        <v/>
      </c>
      <c r="C1392" s="35" t="str">
        <f t="shared" si="16"/>
        <v/>
      </c>
      <c r="D1392" s="35" t="str">
        <f t="shared" si="17"/>
        <v/>
      </c>
      <c r="E1392" s="35" t="str">
        <f t="shared" si="18"/>
        <v/>
      </c>
      <c r="F1392" s="35" t="str">
        <f t="shared" si="19"/>
        <v/>
      </c>
      <c r="G1392" s="35" t="str">
        <f t="shared" si="20"/>
        <v/>
      </c>
      <c r="H1392" s="49"/>
      <c r="I1392" s="47" t="str">
        <f t="shared" si="21"/>
        <v/>
      </c>
      <c r="J1392" s="50"/>
      <c r="K1392" s="45" t="b">
        <v>0</v>
      </c>
      <c r="L1392" s="45"/>
      <c r="M1392" s="45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  <c r="AD1392" s="26"/>
      <c r="AE1392" s="26"/>
      <c r="AF1392" s="26"/>
      <c r="AG1392" s="26"/>
      <c r="AH1392" s="26"/>
      <c r="AI1392" s="26"/>
      <c r="AJ1392" s="26"/>
      <c r="AK1392" s="2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46"/>
      <c r="BM1392" s="46"/>
      <c r="BN1392" s="46"/>
      <c r="BO1392" s="46"/>
    </row>
    <row r="1393">
      <c r="A1393" s="16" t="str">
        <f t="shared" si="14"/>
        <v/>
      </c>
      <c r="B1393" s="16" t="str">
        <f t="shared" si="15"/>
        <v/>
      </c>
      <c r="C1393" s="35" t="str">
        <f t="shared" si="16"/>
        <v/>
      </c>
      <c r="D1393" s="35" t="str">
        <f t="shared" si="17"/>
        <v/>
      </c>
      <c r="E1393" s="35" t="str">
        <f t="shared" si="18"/>
        <v/>
      </c>
      <c r="F1393" s="35" t="str">
        <f t="shared" si="19"/>
        <v/>
      </c>
      <c r="G1393" s="35" t="str">
        <f t="shared" si="20"/>
        <v/>
      </c>
      <c r="H1393" s="49"/>
      <c r="I1393" s="47" t="str">
        <f t="shared" si="21"/>
        <v/>
      </c>
      <c r="J1393" s="50"/>
      <c r="K1393" s="45" t="b">
        <v>0</v>
      </c>
      <c r="L1393" s="45"/>
      <c r="M1393" s="45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  <c r="AD1393" s="26"/>
      <c r="AE1393" s="26"/>
      <c r="AF1393" s="26"/>
      <c r="AG1393" s="26"/>
      <c r="AH1393" s="26"/>
      <c r="AI1393" s="26"/>
      <c r="AJ1393" s="26"/>
      <c r="AK1393" s="2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46"/>
      <c r="BM1393" s="46"/>
      <c r="BN1393" s="46"/>
      <c r="BO1393" s="46"/>
    </row>
    <row r="1394">
      <c r="A1394" s="16" t="str">
        <f t="shared" si="14"/>
        <v/>
      </c>
      <c r="B1394" s="16" t="str">
        <f t="shared" si="15"/>
        <v/>
      </c>
      <c r="C1394" s="35" t="str">
        <f t="shared" si="16"/>
        <v/>
      </c>
      <c r="D1394" s="35" t="str">
        <f t="shared" si="17"/>
        <v/>
      </c>
      <c r="E1394" s="35" t="str">
        <f t="shared" si="18"/>
        <v/>
      </c>
      <c r="F1394" s="35" t="str">
        <f t="shared" si="19"/>
        <v/>
      </c>
      <c r="G1394" s="35" t="str">
        <f t="shared" si="20"/>
        <v/>
      </c>
      <c r="H1394" s="49"/>
      <c r="I1394" s="47" t="str">
        <f t="shared" si="21"/>
        <v/>
      </c>
      <c r="J1394" s="50"/>
      <c r="K1394" s="45" t="b">
        <v>0</v>
      </c>
      <c r="L1394" s="45"/>
      <c r="M1394" s="45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  <c r="AD1394" s="26"/>
      <c r="AE1394" s="26"/>
      <c r="AF1394" s="26"/>
      <c r="AG1394" s="26"/>
      <c r="AH1394" s="26"/>
      <c r="AI1394" s="26"/>
      <c r="AJ1394" s="26"/>
      <c r="AK1394" s="2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46"/>
      <c r="BM1394" s="46"/>
      <c r="BN1394" s="46"/>
      <c r="BO1394" s="46"/>
    </row>
    <row r="1395">
      <c r="A1395" s="16" t="str">
        <f t="shared" si="14"/>
        <v/>
      </c>
      <c r="B1395" s="16" t="str">
        <f t="shared" si="15"/>
        <v/>
      </c>
      <c r="C1395" s="35" t="str">
        <f t="shared" si="16"/>
        <v/>
      </c>
      <c r="D1395" s="35" t="str">
        <f t="shared" si="17"/>
        <v/>
      </c>
      <c r="E1395" s="35" t="str">
        <f t="shared" si="18"/>
        <v/>
      </c>
      <c r="F1395" s="35" t="str">
        <f t="shared" si="19"/>
        <v/>
      </c>
      <c r="G1395" s="35" t="str">
        <f t="shared" si="20"/>
        <v/>
      </c>
      <c r="H1395" s="49"/>
      <c r="I1395" s="47" t="str">
        <f t="shared" si="21"/>
        <v/>
      </c>
      <c r="J1395" s="50"/>
      <c r="K1395" s="45" t="b">
        <v>0</v>
      </c>
      <c r="L1395" s="45"/>
      <c r="M1395" s="45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  <c r="AD1395" s="26"/>
      <c r="AE1395" s="26"/>
      <c r="AF1395" s="26"/>
      <c r="AG1395" s="26"/>
      <c r="AH1395" s="26"/>
      <c r="AI1395" s="26"/>
      <c r="AJ1395" s="26"/>
      <c r="AK1395" s="2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46"/>
      <c r="BM1395" s="46"/>
      <c r="BN1395" s="46"/>
      <c r="BO1395" s="46"/>
    </row>
    <row r="1396">
      <c r="A1396" s="16" t="str">
        <f t="shared" si="14"/>
        <v/>
      </c>
      <c r="B1396" s="16" t="str">
        <f t="shared" si="15"/>
        <v/>
      </c>
      <c r="C1396" s="35" t="str">
        <f t="shared" si="16"/>
        <v/>
      </c>
      <c r="D1396" s="35" t="str">
        <f t="shared" si="17"/>
        <v/>
      </c>
      <c r="E1396" s="35" t="str">
        <f t="shared" si="18"/>
        <v/>
      </c>
      <c r="F1396" s="35" t="str">
        <f t="shared" si="19"/>
        <v/>
      </c>
      <c r="G1396" s="35" t="str">
        <f t="shared" si="20"/>
        <v/>
      </c>
      <c r="H1396" s="49"/>
      <c r="I1396" s="47" t="str">
        <f t="shared" si="21"/>
        <v/>
      </c>
      <c r="J1396" s="50"/>
      <c r="K1396" s="45" t="b">
        <v>0</v>
      </c>
      <c r="L1396" s="45"/>
      <c r="M1396" s="45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46"/>
      <c r="BM1396" s="46"/>
      <c r="BN1396" s="46"/>
      <c r="BO1396" s="46"/>
    </row>
    <row r="1397">
      <c r="A1397" s="16" t="str">
        <f t="shared" si="14"/>
        <v/>
      </c>
      <c r="B1397" s="16" t="str">
        <f t="shared" si="15"/>
        <v/>
      </c>
      <c r="C1397" s="35" t="str">
        <f t="shared" si="16"/>
        <v/>
      </c>
      <c r="D1397" s="35" t="str">
        <f t="shared" si="17"/>
        <v/>
      </c>
      <c r="E1397" s="35" t="str">
        <f t="shared" si="18"/>
        <v/>
      </c>
      <c r="F1397" s="35" t="str">
        <f t="shared" si="19"/>
        <v/>
      </c>
      <c r="G1397" s="35" t="str">
        <f t="shared" si="20"/>
        <v/>
      </c>
      <c r="H1397" s="49"/>
      <c r="I1397" s="47" t="str">
        <f t="shared" si="21"/>
        <v/>
      </c>
      <c r="J1397" s="50"/>
      <c r="K1397" s="45" t="b">
        <v>0</v>
      </c>
      <c r="L1397" s="45"/>
      <c r="M1397" s="45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  <c r="AD1397" s="26"/>
      <c r="AE1397" s="26"/>
      <c r="AF1397" s="26"/>
      <c r="AG1397" s="26"/>
      <c r="AH1397" s="26"/>
      <c r="AI1397" s="26"/>
      <c r="AJ1397" s="26"/>
      <c r="AK1397" s="2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46"/>
      <c r="BM1397" s="46"/>
      <c r="BN1397" s="46"/>
      <c r="BO1397" s="46"/>
    </row>
    <row r="1398">
      <c r="A1398" s="16" t="str">
        <f t="shared" si="14"/>
        <v/>
      </c>
      <c r="B1398" s="16" t="str">
        <f t="shared" si="15"/>
        <v/>
      </c>
      <c r="C1398" s="35" t="str">
        <f t="shared" si="16"/>
        <v/>
      </c>
      <c r="D1398" s="35" t="str">
        <f t="shared" si="17"/>
        <v/>
      </c>
      <c r="E1398" s="35" t="str">
        <f t="shared" si="18"/>
        <v/>
      </c>
      <c r="F1398" s="35" t="str">
        <f t="shared" si="19"/>
        <v/>
      </c>
      <c r="G1398" s="35" t="str">
        <f t="shared" si="20"/>
        <v/>
      </c>
      <c r="H1398" s="49"/>
      <c r="I1398" s="47" t="str">
        <f t="shared" si="21"/>
        <v/>
      </c>
      <c r="J1398" s="50"/>
      <c r="K1398" s="45" t="b">
        <v>0</v>
      </c>
      <c r="L1398" s="45"/>
      <c r="M1398" s="45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  <c r="AD1398" s="26"/>
      <c r="AE1398" s="26"/>
      <c r="AF1398" s="26"/>
      <c r="AG1398" s="26"/>
      <c r="AH1398" s="26"/>
      <c r="AI1398" s="26"/>
      <c r="AJ1398" s="26"/>
      <c r="AK1398" s="2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46"/>
      <c r="BM1398" s="46"/>
      <c r="BN1398" s="46"/>
      <c r="BO1398" s="46"/>
    </row>
    <row r="1399">
      <c r="A1399" s="16" t="str">
        <f t="shared" si="14"/>
        <v/>
      </c>
      <c r="B1399" s="16" t="str">
        <f t="shared" si="15"/>
        <v/>
      </c>
      <c r="C1399" s="35" t="str">
        <f t="shared" si="16"/>
        <v/>
      </c>
      <c r="D1399" s="35" t="str">
        <f t="shared" si="17"/>
        <v/>
      </c>
      <c r="E1399" s="35" t="str">
        <f t="shared" si="18"/>
        <v/>
      </c>
      <c r="F1399" s="35" t="str">
        <f t="shared" si="19"/>
        <v/>
      </c>
      <c r="G1399" s="35" t="str">
        <f t="shared" si="20"/>
        <v/>
      </c>
      <c r="H1399" s="49"/>
      <c r="I1399" s="47" t="str">
        <f t="shared" si="21"/>
        <v/>
      </c>
      <c r="J1399" s="50"/>
      <c r="K1399" s="45" t="b">
        <v>0</v>
      </c>
      <c r="L1399" s="45"/>
      <c r="M1399" s="45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  <c r="AC1399" s="26"/>
      <c r="AD1399" s="26"/>
      <c r="AE1399" s="26"/>
      <c r="AF1399" s="26"/>
      <c r="AG1399" s="26"/>
      <c r="AH1399" s="26"/>
      <c r="AI1399" s="26"/>
      <c r="AJ1399" s="26"/>
      <c r="AK1399" s="2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46"/>
      <c r="BM1399" s="46"/>
      <c r="BN1399" s="46"/>
      <c r="BO1399" s="46"/>
    </row>
    <row r="1400">
      <c r="A1400" s="16" t="str">
        <f t="shared" si="14"/>
        <v/>
      </c>
      <c r="B1400" s="16" t="str">
        <f t="shared" si="15"/>
        <v/>
      </c>
      <c r="C1400" s="35" t="str">
        <f t="shared" si="16"/>
        <v/>
      </c>
      <c r="D1400" s="35" t="str">
        <f t="shared" si="17"/>
        <v/>
      </c>
      <c r="E1400" s="35" t="str">
        <f t="shared" si="18"/>
        <v/>
      </c>
      <c r="F1400" s="35" t="str">
        <f t="shared" si="19"/>
        <v/>
      </c>
      <c r="G1400" s="35" t="str">
        <f t="shared" si="20"/>
        <v/>
      </c>
      <c r="H1400" s="49"/>
      <c r="I1400" s="47" t="str">
        <f t="shared" si="21"/>
        <v/>
      </c>
      <c r="J1400" s="50"/>
      <c r="K1400" s="45" t="b">
        <v>0</v>
      </c>
      <c r="L1400" s="45"/>
      <c r="M1400" s="45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  <c r="AC1400" s="26"/>
      <c r="AD1400" s="26"/>
      <c r="AE1400" s="26"/>
      <c r="AF1400" s="26"/>
      <c r="AG1400" s="26"/>
      <c r="AH1400" s="26"/>
      <c r="AI1400" s="26"/>
      <c r="AJ1400" s="26"/>
      <c r="AK1400" s="2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46"/>
      <c r="BM1400" s="46"/>
      <c r="BN1400" s="46"/>
      <c r="BO1400" s="46"/>
    </row>
    <row r="1401">
      <c r="A1401" s="16" t="str">
        <f t="shared" si="14"/>
        <v/>
      </c>
      <c r="B1401" s="16" t="str">
        <f t="shared" si="15"/>
        <v/>
      </c>
      <c r="C1401" s="35" t="str">
        <f t="shared" si="16"/>
        <v/>
      </c>
      <c r="D1401" s="35" t="str">
        <f t="shared" si="17"/>
        <v/>
      </c>
      <c r="E1401" s="35" t="str">
        <f t="shared" si="18"/>
        <v/>
      </c>
      <c r="F1401" s="35" t="str">
        <f t="shared" si="19"/>
        <v/>
      </c>
      <c r="G1401" s="35" t="str">
        <f t="shared" si="20"/>
        <v/>
      </c>
      <c r="H1401" s="49"/>
      <c r="I1401" s="47" t="str">
        <f t="shared" si="21"/>
        <v/>
      </c>
      <c r="J1401" s="50"/>
      <c r="K1401" s="45" t="b">
        <v>0</v>
      </c>
      <c r="L1401" s="45"/>
      <c r="M1401" s="45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26"/>
      <c r="AD1401" s="26"/>
      <c r="AE1401" s="26"/>
      <c r="AF1401" s="26"/>
      <c r="AG1401" s="26"/>
      <c r="AH1401" s="26"/>
      <c r="AI1401" s="26"/>
      <c r="AJ1401" s="26"/>
      <c r="AK1401" s="2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46"/>
      <c r="BM1401" s="46"/>
      <c r="BN1401" s="46"/>
      <c r="BO1401" s="46"/>
    </row>
    <row r="1402">
      <c r="A1402" s="16" t="str">
        <f t="shared" si="14"/>
        <v/>
      </c>
      <c r="B1402" s="16" t="str">
        <f t="shared" si="15"/>
        <v/>
      </c>
      <c r="C1402" s="35" t="str">
        <f t="shared" si="16"/>
        <v/>
      </c>
      <c r="D1402" s="35" t="str">
        <f t="shared" si="17"/>
        <v/>
      </c>
      <c r="E1402" s="35" t="str">
        <f t="shared" si="18"/>
        <v/>
      </c>
      <c r="F1402" s="35" t="str">
        <f t="shared" si="19"/>
        <v/>
      </c>
      <c r="G1402" s="35" t="str">
        <f t="shared" si="20"/>
        <v/>
      </c>
      <c r="H1402" s="49"/>
      <c r="I1402" s="47" t="str">
        <f t="shared" si="21"/>
        <v/>
      </c>
      <c r="J1402" s="50"/>
      <c r="K1402" s="45" t="b">
        <v>0</v>
      </c>
      <c r="L1402" s="45"/>
      <c r="M1402" s="45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  <c r="AC1402" s="26"/>
      <c r="AD1402" s="26"/>
      <c r="AE1402" s="26"/>
      <c r="AF1402" s="26"/>
      <c r="AG1402" s="26"/>
      <c r="AH1402" s="26"/>
      <c r="AI1402" s="26"/>
      <c r="AJ1402" s="26"/>
      <c r="AK1402" s="2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46"/>
      <c r="BM1402" s="46"/>
      <c r="BN1402" s="46"/>
      <c r="BO1402" s="46"/>
    </row>
    <row r="1403">
      <c r="A1403" s="16" t="str">
        <f t="shared" si="14"/>
        <v/>
      </c>
      <c r="B1403" s="16" t="str">
        <f t="shared" si="15"/>
        <v/>
      </c>
      <c r="C1403" s="35" t="str">
        <f t="shared" si="16"/>
        <v/>
      </c>
      <c r="D1403" s="35" t="str">
        <f t="shared" si="17"/>
        <v/>
      </c>
      <c r="E1403" s="35" t="str">
        <f t="shared" si="18"/>
        <v/>
      </c>
      <c r="F1403" s="35" t="str">
        <f t="shared" si="19"/>
        <v/>
      </c>
      <c r="G1403" s="35" t="str">
        <f t="shared" si="20"/>
        <v/>
      </c>
      <c r="H1403" s="49"/>
      <c r="I1403" s="47" t="str">
        <f t="shared" si="21"/>
        <v/>
      </c>
      <c r="J1403" s="50"/>
      <c r="K1403" s="45" t="b">
        <v>0</v>
      </c>
      <c r="L1403" s="45"/>
      <c r="M1403" s="45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46"/>
      <c r="BM1403" s="46"/>
      <c r="BN1403" s="46"/>
      <c r="BO1403" s="46"/>
    </row>
    <row r="1404">
      <c r="A1404" s="16" t="str">
        <f t="shared" si="14"/>
        <v/>
      </c>
      <c r="B1404" s="16" t="str">
        <f t="shared" si="15"/>
        <v/>
      </c>
      <c r="C1404" s="35" t="str">
        <f t="shared" si="16"/>
        <v/>
      </c>
      <c r="D1404" s="35" t="str">
        <f t="shared" si="17"/>
        <v/>
      </c>
      <c r="E1404" s="35" t="str">
        <f t="shared" si="18"/>
        <v/>
      </c>
      <c r="F1404" s="35" t="str">
        <f t="shared" si="19"/>
        <v/>
      </c>
      <c r="G1404" s="35" t="str">
        <f t="shared" si="20"/>
        <v/>
      </c>
      <c r="H1404" s="49"/>
      <c r="I1404" s="47" t="str">
        <f t="shared" si="21"/>
        <v/>
      </c>
      <c r="J1404" s="50"/>
      <c r="K1404" s="45" t="b">
        <v>0</v>
      </c>
      <c r="L1404" s="45"/>
      <c r="M1404" s="45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  <c r="AD1404" s="26"/>
      <c r="AE1404" s="26"/>
      <c r="AF1404" s="26"/>
      <c r="AG1404" s="26"/>
      <c r="AH1404" s="26"/>
      <c r="AI1404" s="26"/>
      <c r="AJ1404" s="26"/>
      <c r="AK1404" s="2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</row>
    <row r="1405">
      <c r="A1405" s="16" t="str">
        <f t="shared" si="14"/>
        <v/>
      </c>
      <c r="B1405" s="16" t="str">
        <f t="shared" si="15"/>
        <v/>
      </c>
      <c r="C1405" s="35" t="str">
        <f t="shared" si="16"/>
        <v/>
      </c>
      <c r="D1405" s="35" t="str">
        <f t="shared" si="17"/>
        <v/>
      </c>
      <c r="E1405" s="35" t="str">
        <f t="shared" si="18"/>
        <v/>
      </c>
      <c r="F1405" s="35" t="str">
        <f t="shared" si="19"/>
        <v/>
      </c>
      <c r="G1405" s="35" t="str">
        <f t="shared" si="20"/>
        <v/>
      </c>
      <c r="H1405" s="49"/>
      <c r="I1405" s="47" t="str">
        <f t="shared" si="21"/>
        <v/>
      </c>
      <c r="J1405" s="50"/>
      <c r="K1405" s="45" t="b">
        <v>0</v>
      </c>
      <c r="L1405" s="45"/>
      <c r="M1405" s="45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  <c r="AC1405" s="26"/>
      <c r="AD1405" s="26"/>
      <c r="AE1405" s="26"/>
      <c r="AF1405" s="26"/>
      <c r="AG1405" s="26"/>
      <c r="AH1405" s="26"/>
      <c r="AI1405" s="26"/>
      <c r="AJ1405" s="26"/>
      <c r="AK1405" s="2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</row>
    <row r="1406">
      <c r="A1406" s="16" t="str">
        <f t="shared" si="14"/>
        <v/>
      </c>
      <c r="B1406" s="16" t="str">
        <f t="shared" si="15"/>
        <v/>
      </c>
      <c r="C1406" s="35" t="str">
        <f t="shared" si="16"/>
        <v/>
      </c>
      <c r="D1406" s="35" t="str">
        <f t="shared" si="17"/>
        <v/>
      </c>
      <c r="E1406" s="35" t="str">
        <f t="shared" si="18"/>
        <v/>
      </c>
      <c r="F1406" s="35" t="str">
        <f t="shared" si="19"/>
        <v/>
      </c>
      <c r="G1406" s="35" t="str">
        <f t="shared" si="20"/>
        <v/>
      </c>
      <c r="H1406" s="49"/>
      <c r="I1406" s="47" t="str">
        <f t="shared" si="21"/>
        <v/>
      </c>
      <c r="J1406" s="50"/>
      <c r="K1406" s="45" t="b">
        <v>0</v>
      </c>
      <c r="L1406" s="45"/>
      <c r="M1406" s="45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  <c r="AC1406" s="26"/>
      <c r="AD1406" s="26"/>
      <c r="AE1406" s="26"/>
      <c r="AF1406" s="26"/>
      <c r="AG1406" s="26"/>
      <c r="AH1406" s="26"/>
      <c r="AI1406" s="26"/>
      <c r="AJ1406" s="26"/>
      <c r="AK1406" s="2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46"/>
      <c r="BM1406" s="46"/>
      <c r="BN1406" s="46"/>
      <c r="BO1406" s="46"/>
    </row>
    <row r="1407">
      <c r="A1407" s="16" t="str">
        <f t="shared" si="14"/>
        <v/>
      </c>
      <c r="B1407" s="16" t="str">
        <f t="shared" si="15"/>
        <v/>
      </c>
      <c r="C1407" s="35" t="str">
        <f t="shared" si="16"/>
        <v/>
      </c>
      <c r="D1407" s="35" t="str">
        <f t="shared" si="17"/>
        <v/>
      </c>
      <c r="E1407" s="35" t="str">
        <f t="shared" si="18"/>
        <v/>
      </c>
      <c r="F1407" s="35" t="str">
        <f t="shared" si="19"/>
        <v/>
      </c>
      <c r="G1407" s="35" t="str">
        <f t="shared" si="20"/>
        <v/>
      </c>
      <c r="H1407" s="49"/>
      <c r="I1407" s="47" t="str">
        <f t="shared" si="21"/>
        <v/>
      </c>
      <c r="J1407" s="50"/>
      <c r="K1407" s="45" t="b">
        <v>0</v>
      </c>
      <c r="L1407" s="45"/>
      <c r="M1407" s="45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  <c r="AC1407" s="26"/>
      <c r="AD1407" s="26"/>
      <c r="AE1407" s="26"/>
      <c r="AF1407" s="26"/>
      <c r="AG1407" s="26"/>
      <c r="AH1407" s="26"/>
      <c r="AI1407" s="26"/>
      <c r="AJ1407" s="26"/>
      <c r="AK1407" s="2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46"/>
      <c r="BM1407" s="46"/>
      <c r="BN1407" s="46"/>
      <c r="BO1407" s="46"/>
    </row>
    <row r="1408">
      <c r="A1408" s="16" t="str">
        <f t="shared" si="14"/>
        <v/>
      </c>
      <c r="B1408" s="16" t="str">
        <f t="shared" si="15"/>
        <v/>
      </c>
      <c r="C1408" s="35" t="str">
        <f t="shared" si="16"/>
        <v/>
      </c>
      <c r="D1408" s="35" t="str">
        <f t="shared" si="17"/>
        <v/>
      </c>
      <c r="E1408" s="35" t="str">
        <f t="shared" si="18"/>
        <v/>
      </c>
      <c r="F1408" s="35" t="str">
        <f t="shared" si="19"/>
        <v/>
      </c>
      <c r="G1408" s="35" t="str">
        <f t="shared" si="20"/>
        <v/>
      </c>
      <c r="H1408" s="49"/>
      <c r="I1408" s="47" t="str">
        <f t="shared" si="21"/>
        <v/>
      </c>
      <c r="J1408" s="50"/>
      <c r="K1408" s="45" t="b">
        <v>0</v>
      </c>
      <c r="L1408" s="45"/>
      <c r="M1408" s="45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  <c r="AC1408" s="26"/>
      <c r="AD1408" s="26"/>
      <c r="AE1408" s="26"/>
      <c r="AF1408" s="26"/>
      <c r="AG1408" s="26"/>
      <c r="AH1408" s="26"/>
      <c r="AI1408" s="26"/>
      <c r="AJ1408" s="26"/>
      <c r="AK1408" s="2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46"/>
      <c r="BM1408" s="46"/>
      <c r="BN1408" s="46"/>
      <c r="BO1408" s="46"/>
    </row>
    <row r="1409">
      <c r="A1409" s="16" t="str">
        <f t="shared" si="14"/>
        <v/>
      </c>
      <c r="B1409" s="16" t="str">
        <f t="shared" si="15"/>
        <v/>
      </c>
      <c r="C1409" s="35" t="str">
        <f t="shared" si="16"/>
        <v/>
      </c>
      <c r="D1409" s="35" t="str">
        <f t="shared" si="17"/>
        <v/>
      </c>
      <c r="E1409" s="35" t="str">
        <f t="shared" si="18"/>
        <v/>
      </c>
      <c r="F1409" s="35" t="str">
        <f t="shared" si="19"/>
        <v/>
      </c>
      <c r="G1409" s="35" t="str">
        <f t="shared" si="20"/>
        <v/>
      </c>
      <c r="H1409" s="49"/>
      <c r="I1409" s="47" t="str">
        <f t="shared" si="21"/>
        <v/>
      </c>
      <c r="J1409" s="50"/>
      <c r="K1409" s="45" t="b">
        <v>0</v>
      </c>
      <c r="L1409" s="45"/>
      <c r="M1409" s="45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  <c r="AD1409" s="26"/>
      <c r="AE1409" s="26"/>
      <c r="AF1409" s="26"/>
      <c r="AG1409" s="26"/>
      <c r="AH1409" s="26"/>
      <c r="AI1409" s="26"/>
      <c r="AJ1409" s="26"/>
      <c r="AK1409" s="2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46"/>
      <c r="BM1409" s="46"/>
      <c r="BN1409" s="46"/>
      <c r="BO1409" s="46"/>
    </row>
    <row r="1410">
      <c r="A1410" s="16" t="str">
        <f t="shared" si="14"/>
        <v/>
      </c>
      <c r="B1410" s="16" t="str">
        <f t="shared" si="15"/>
        <v/>
      </c>
      <c r="C1410" s="35" t="str">
        <f t="shared" si="16"/>
        <v/>
      </c>
      <c r="D1410" s="35" t="str">
        <f t="shared" si="17"/>
        <v/>
      </c>
      <c r="E1410" s="35" t="str">
        <f t="shared" si="18"/>
        <v/>
      </c>
      <c r="F1410" s="35" t="str">
        <f t="shared" si="19"/>
        <v/>
      </c>
      <c r="G1410" s="35" t="str">
        <f t="shared" si="20"/>
        <v/>
      </c>
      <c r="H1410" s="49"/>
      <c r="I1410" s="47" t="str">
        <f t="shared" si="21"/>
        <v/>
      </c>
      <c r="J1410" s="50"/>
      <c r="K1410" s="45" t="b">
        <v>0</v>
      </c>
      <c r="L1410" s="45"/>
      <c r="M1410" s="45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  <c r="AD1410" s="26"/>
      <c r="AE1410" s="26"/>
      <c r="AF1410" s="26"/>
      <c r="AG1410" s="26"/>
      <c r="AH1410" s="26"/>
      <c r="AI1410" s="26"/>
      <c r="AJ1410" s="26"/>
      <c r="AK1410" s="2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46"/>
      <c r="BM1410" s="46"/>
      <c r="BN1410" s="46"/>
      <c r="BO1410" s="46"/>
    </row>
    <row r="1411">
      <c r="A1411" s="16" t="str">
        <f t="shared" si="14"/>
        <v/>
      </c>
      <c r="B1411" s="16" t="str">
        <f t="shared" si="15"/>
        <v/>
      </c>
      <c r="C1411" s="35" t="str">
        <f t="shared" si="16"/>
        <v/>
      </c>
      <c r="D1411" s="35" t="str">
        <f t="shared" si="17"/>
        <v/>
      </c>
      <c r="E1411" s="35" t="str">
        <f t="shared" si="18"/>
        <v/>
      </c>
      <c r="F1411" s="35" t="str">
        <f t="shared" si="19"/>
        <v/>
      </c>
      <c r="G1411" s="35" t="str">
        <f t="shared" si="20"/>
        <v/>
      </c>
      <c r="H1411" s="49"/>
      <c r="I1411" s="47" t="str">
        <f t="shared" si="21"/>
        <v/>
      </c>
      <c r="J1411" s="50"/>
      <c r="K1411" s="45" t="b">
        <v>0</v>
      </c>
      <c r="L1411" s="45"/>
      <c r="M1411" s="45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  <c r="AD1411" s="26"/>
      <c r="AE1411" s="26"/>
      <c r="AF1411" s="26"/>
      <c r="AG1411" s="26"/>
      <c r="AH1411" s="26"/>
      <c r="AI1411" s="26"/>
      <c r="AJ1411" s="26"/>
      <c r="AK1411" s="2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46"/>
      <c r="BM1411" s="46"/>
      <c r="BN1411" s="46"/>
      <c r="BO1411" s="46"/>
    </row>
    <row r="1412">
      <c r="A1412" s="16" t="str">
        <f t="shared" si="14"/>
        <v/>
      </c>
      <c r="B1412" s="16" t="str">
        <f t="shared" si="15"/>
        <v/>
      </c>
      <c r="C1412" s="35" t="str">
        <f t="shared" si="16"/>
        <v/>
      </c>
      <c r="D1412" s="35" t="str">
        <f t="shared" si="17"/>
        <v/>
      </c>
      <c r="E1412" s="35" t="str">
        <f t="shared" si="18"/>
        <v/>
      </c>
      <c r="F1412" s="35" t="str">
        <f t="shared" si="19"/>
        <v/>
      </c>
      <c r="G1412" s="35" t="str">
        <f t="shared" si="20"/>
        <v/>
      </c>
      <c r="H1412" s="49"/>
      <c r="I1412" s="47" t="str">
        <f t="shared" si="21"/>
        <v/>
      </c>
      <c r="J1412" s="50"/>
      <c r="K1412" s="45" t="b">
        <v>0</v>
      </c>
      <c r="L1412" s="45"/>
      <c r="M1412" s="45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  <c r="AD1412" s="26"/>
      <c r="AE1412" s="26"/>
      <c r="AF1412" s="26"/>
      <c r="AG1412" s="26"/>
      <c r="AH1412" s="26"/>
      <c r="AI1412" s="26"/>
      <c r="AJ1412" s="26"/>
      <c r="AK1412" s="2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</row>
    <row r="1413">
      <c r="A1413" s="16" t="str">
        <f t="shared" si="14"/>
        <v/>
      </c>
      <c r="B1413" s="16" t="str">
        <f t="shared" si="15"/>
        <v/>
      </c>
      <c r="C1413" s="35" t="str">
        <f t="shared" si="16"/>
        <v/>
      </c>
      <c r="D1413" s="35" t="str">
        <f t="shared" si="17"/>
        <v/>
      </c>
      <c r="E1413" s="35" t="str">
        <f t="shared" si="18"/>
        <v/>
      </c>
      <c r="F1413" s="35" t="str">
        <f t="shared" si="19"/>
        <v/>
      </c>
      <c r="G1413" s="35" t="str">
        <f t="shared" si="20"/>
        <v/>
      </c>
      <c r="H1413" s="49"/>
      <c r="I1413" s="47" t="str">
        <f t="shared" si="21"/>
        <v/>
      </c>
      <c r="J1413" s="50"/>
      <c r="K1413" s="45" t="b">
        <v>0</v>
      </c>
      <c r="L1413" s="45"/>
      <c r="M1413" s="45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  <c r="AD1413" s="26"/>
      <c r="AE1413" s="26"/>
      <c r="AF1413" s="26"/>
      <c r="AG1413" s="26"/>
      <c r="AH1413" s="26"/>
      <c r="AI1413" s="26"/>
      <c r="AJ1413" s="26"/>
      <c r="AK1413" s="2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</row>
    <row r="1414">
      <c r="A1414" s="16" t="str">
        <f t="shared" si="14"/>
        <v/>
      </c>
      <c r="B1414" s="16" t="str">
        <f t="shared" si="15"/>
        <v/>
      </c>
      <c r="C1414" s="35" t="str">
        <f t="shared" si="16"/>
        <v/>
      </c>
      <c r="D1414" s="35" t="str">
        <f t="shared" si="17"/>
        <v/>
      </c>
      <c r="E1414" s="35" t="str">
        <f t="shared" si="18"/>
        <v/>
      </c>
      <c r="F1414" s="35" t="str">
        <f t="shared" si="19"/>
        <v/>
      </c>
      <c r="G1414" s="35" t="str">
        <f t="shared" si="20"/>
        <v/>
      </c>
      <c r="H1414" s="49"/>
      <c r="I1414" s="47" t="str">
        <f t="shared" si="21"/>
        <v/>
      </c>
      <c r="J1414" s="50"/>
      <c r="K1414" s="45" t="b">
        <v>0</v>
      </c>
      <c r="L1414" s="45"/>
      <c r="M1414" s="45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  <c r="AD1414" s="26"/>
      <c r="AE1414" s="26"/>
      <c r="AF1414" s="26"/>
      <c r="AG1414" s="26"/>
      <c r="AH1414" s="26"/>
      <c r="AI1414" s="26"/>
      <c r="AJ1414" s="26"/>
      <c r="AK1414" s="2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</row>
    <row r="1415">
      <c r="A1415" s="16" t="str">
        <f t="shared" si="14"/>
        <v/>
      </c>
      <c r="B1415" s="16" t="str">
        <f t="shared" si="15"/>
        <v/>
      </c>
      <c r="C1415" s="35" t="str">
        <f t="shared" si="16"/>
        <v/>
      </c>
      <c r="D1415" s="35" t="str">
        <f t="shared" si="17"/>
        <v/>
      </c>
      <c r="E1415" s="35" t="str">
        <f t="shared" si="18"/>
        <v/>
      </c>
      <c r="F1415" s="35" t="str">
        <f t="shared" si="19"/>
        <v/>
      </c>
      <c r="G1415" s="35" t="str">
        <f t="shared" si="20"/>
        <v/>
      </c>
      <c r="H1415" s="49"/>
      <c r="I1415" s="47" t="str">
        <f t="shared" si="21"/>
        <v/>
      </c>
      <c r="J1415" s="50"/>
      <c r="K1415" s="45" t="b">
        <v>0</v>
      </c>
      <c r="L1415" s="45"/>
      <c r="M1415" s="45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  <c r="AC1415" s="26"/>
      <c r="AD1415" s="26"/>
      <c r="AE1415" s="26"/>
      <c r="AF1415" s="26"/>
      <c r="AG1415" s="26"/>
      <c r="AH1415" s="26"/>
      <c r="AI1415" s="26"/>
      <c r="AJ1415" s="26"/>
      <c r="AK1415" s="2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</row>
    <row r="1416">
      <c r="A1416" s="16" t="str">
        <f t="shared" si="14"/>
        <v/>
      </c>
      <c r="B1416" s="16" t="str">
        <f t="shared" si="15"/>
        <v/>
      </c>
      <c r="C1416" s="35" t="str">
        <f t="shared" si="16"/>
        <v/>
      </c>
      <c r="D1416" s="35" t="str">
        <f t="shared" si="17"/>
        <v/>
      </c>
      <c r="E1416" s="35" t="str">
        <f t="shared" si="18"/>
        <v/>
      </c>
      <c r="F1416" s="35" t="str">
        <f t="shared" si="19"/>
        <v/>
      </c>
      <c r="G1416" s="35" t="str">
        <f t="shared" si="20"/>
        <v/>
      </c>
      <c r="H1416" s="49"/>
      <c r="I1416" s="47" t="str">
        <f t="shared" si="21"/>
        <v/>
      </c>
      <c r="J1416" s="50"/>
      <c r="K1416" s="45" t="b">
        <v>0</v>
      </c>
      <c r="L1416" s="45"/>
      <c r="M1416" s="45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</row>
    <row r="1417">
      <c r="A1417" s="16" t="str">
        <f t="shared" si="14"/>
        <v/>
      </c>
      <c r="B1417" s="16" t="str">
        <f t="shared" si="15"/>
        <v/>
      </c>
      <c r="C1417" s="35" t="str">
        <f t="shared" si="16"/>
        <v/>
      </c>
      <c r="D1417" s="35" t="str">
        <f t="shared" si="17"/>
        <v/>
      </c>
      <c r="E1417" s="35" t="str">
        <f t="shared" si="18"/>
        <v/>
      </c>
      <c r="F1417" s="35" t="str">
        <f t="shared" si="19"/>
        <v/>
      </c>
      <c r="G1417" s="35" t="str">
        <f t="shared" si="20"/>
        <v/>
      </c>
      <c r="H1417" s="49"/>
      <c r="I1417" s="47" t="str">
        <f t="shared" si="21"/>
        <v/>
      </c>
      <c r="J1417" s="50"/>
      <c r="K1417" s="45" t="b">
        <v>0</v>
      </c>
      <c r="L1417" s="45"/>
      <c r="M1417" s="45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  <c r="AC1417" s="26"/>
      <c r="AD1417" s="26"/>
      <c r="AE1417" s="26"/>
      <c r="AF1417" s="26"/>
      <c r="AG1417" s="26"/>
      <c r="AH1417" s="26"/>
      <c r="AI1417" s="26"/>
      <c r="AJ1417" s="26"/>
      <c r="AK1417" s="2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</row>
    <row r="1418">
      <c r="A1418" s="16" t="str">
        <f t="shared" si="14"/>
        <v/>
      </c>
      <c r="B1418" s="16" t="str">
        <f t="shared" si="15"/>
        <v/>
      </c>
      <c r="C1418" s="35" t="str">
        <f t="shared" si="16"/>
        <v/>
      </c>
      <c r="D1418" s="35" t="str">
        <f t="shared" si="17"/>
        <v/>
      </c>
      <c r="E1418" s="35" t="str">
        <f t="shared" si="18"/>
        <v/>
      </c>
      <c r="F1418" s="35" t="str">
        <f t="shared" si="19"/>
        <v/>
      </c>
      <c r="G1418" s="35" t="str">
        <f t="shared" si="20"/>
        <v/>
      </c>
      <c r="H1418" s="49"/>
      <c r="I1418" s="47" t="str">
        <f t="shared" si="21"/>
        <v/>
      </c>
      <c r="J1418" s="50"/>
      <c r="K1418" s="45" t="b">
        <v>0</v>
      </c>
      <c r="L1418" s="45"/>
      <c r="M1418" s="45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  <c r="AC1418" s="26"/>
      <c r="AD1418" s="26"/>
      <c r="AE1418" s="26"/>
      <c r="AF1418" s="26"/>
      <c r="AG1418" s="26"/>
      <c r="AH1418" s="26"/>
      <c r="AI1418" s="26"/>
      <c r="AJ1418" s="26"/>
      <c r="AK1418" s="2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46"/>
      <c r="BM1418" s="46"/>
      <c r="BN1418" s="46"/>
      <c r="BO1418" s="46"/>
    </row>
    <row r="1419">
      <c r="A1419" s="16" t="str">
        <f t="shared" si="14"/>
        <v/>
      </c>
      <c r="B1419" s="16" t="str">
        <f t="shared" si="15"/>
        <v/>
      </c>
      <c r="C1419" s="35" t="str">
        <f t="shared" si="16"/>
        <v/>
      </c>
      <c r="D1419" s="35" t="str">
        <f t="shared" si="17"/>
        <v/>
      </c>
      <c r="E1419" s="35" t="str">
        <f t="shared" si="18"/>
        <v/>
      </c>
      <c r="F1419" s="35" t="str">
        <f t="shared" si="19"/>
        <v/>
      </c>
      <c r="G1419" s="35" t="str">
        <f t="shared" si="20"/>
        <v/>
      </c>
      <c r="H1419" s="49"/>
      <c r="I1419" s="47" t="str">
        <f t="shared" si="21"/>
        <v/>
      </c>
      <c r="J1419" s="50"/>
      <c r="K1419" s="45" t="b">
        <v>0</v>
      </c>
      <c r="L1419" s="45"/>
      <c r="M1419" s="45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  <c r="AC1419" s="26"/>
      <c r="AD1419" s="26"/>
      <c r="AE1419" s="26"/>
      <c r="AF1419" s="26"/>
      <c r="AG1419" s="26"/>
      <c r="AH1419" s="26"/>
      <c r="AI1419" s="26"/>
      <c r="AJ1419" s="26"/>
      <c r="AK1419" s="2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46"/>
      <c r="BM1419" s="46"/>
      <c r="BN1419" s="46"/>
      <c r="BO1419" s="46"/>
    </row>
    <row r="1420">
      <c r="A1420" s="16" t="str">
        <f t="shared" si="14"/>
        <v/>
      </c>
      <c r="B1420" s="16" t="str">
        <f t="shared" si="15"/>
        <v/>
      </c>
      <c r="C1420" s="35" t="str">
        <f t="shared" si="16"/>
        <v/>
      </c>
      <c r="D1420" s="35" t="str">
        <f t="shared" si="17"/>
        <v/>
      </c>
      <c r="E1420" s="35" t="str">
        <f t="shared" si="18"/>
        <v/>
      </c>
      <c r="F1420" s="35" t="str">
        <f t="shared" si="19"/>
        <v/>
      </c>
      <c r="G1420" s="35" t="str">
        <f t="shared" si="20"/>
        <v/>
      </c>
      <c r="H1420" s="49"/>
      <c r="I1420" s="47" t="str">
        <f t="shared" si="21"/>
        <v/>
      </c>
      <c r="J1420" s="50"/>
      <c r="K1420" s="45" t="b">
        <v>0</v>
      </c>
      <c r="L1420" s="45"/>
      <c r="M1420" s="45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  <c r="AC1420" s="26"/>
      <c r="AD1420" s="26"/>
      <c r="AE1420" s="26"/>
      <c r="AF1420" s="26"/>
      <c r="AG1420" s="26"/>
      <c r="AH1420" s="26"/>
      <c r="AI1420" s="26"/>
      <c r="AJ1420" s="26"/>
      <c r="AK1420" s="2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46"/>
      <c r="BM1420" s="46"/>
      <c r="BN1420" s="46"/>
      <c r="BO1420" s="46"/>
    </row>
    <row r="1421">
      <c r="A1421" s="16" t="str">
        <f t="shared" si="14"/>
        <v/>
      </c>
      <c r="B1421" s="16" t="str">
        <f t="shared" si="15"/>
        <v/>
      </c>
      <c r="C1421" s="35" t="str">
        <f t="shared" si="16"/>
        <v/>
      </c>
      <c r="D1421" s="35" t="str">
        <f t="shared" si="17"/>
        <v/>
      </c>
      <c r="E1421" s="35" t="str">
        <f t="shared" si="18"/>
        <v/>
      </c>
      <c r="F1421" s="35" t="str">
        <f t="shared" si="19"/>
        <v/>
      </c>
      <c r="G1421" s="35" t="str">
        <f t="shared" si="20"/>
        <v/>
      </c>
      <c r="H1421" s="49"/>
      <c r="I1421" s="47" t="str">
        <f t="shared" si="21"/>
        <v/>
      </c>
      <c r="J1421" s="50"/>
      <c r="K1421" s="45" t="b">
        <v>0</v>
      </c>
      <c r="L1421" s="45"/>
      <c r="M1421" s="45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  <c r="AC1421" s="26"/>
      <c r="AD1421" s="26"/>
      <c r="AE1421" s="26"/>
      <c r="AF1421" s="26"/>
      <c r="AG1421" s="26"/>
      <c r="AH1421" s="26"/>
      <c r="AI1421" s="26"/>
      <c r="AJ1421" s="26"/>
      <c r="AK1421" s="2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46"/>
      <c r="BM1421" s="46"/>
      <c r="BN1421" s="46"/>
      <c r="BO1421" s="46"/>
    </row>
    <row r="1422">
      <c r="A1422" s="16" t="str">
        <f t="shared" si="14"/>
        <v/>
      </c>
      <c r="B1422" s="16" t="str">
        <f t="shared" si="15"/>
        <v/>
      </c>
      <c r="C1422" s="35" t="str">
        <f t="shared" si="16"/>
        <v/>
      </c>
      <c r="D1422" s="35" t="str">
        <f t="shared" si="17"/>
        <v/>
      </c>
      <c r="E1422" s="35" t="str">
        <f t="shared" si="18"/>
        <v/>
      </c>
      <c r="F1422" s="35" t="str">
        <f t="shared" si="19"/>
        <v/>
      </c>
      <c r="G1422" s="35" t="str">
        <f t="shared" si="20"/>
        <v/>
      </c>
      <c r="H1422" s="49"/>
      <c r="I1422" s="47" t="str">
        <f t="shared" si="21"/>
        <v/>
      </c>
      <c r="J1422" s="50"/>
      <c r="K1422" s="45" t="b">
        <v>0</v>
      </c>
      <c r="L1422" s="45"/>
      <c r="M1422" s="45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  <c r="AD1422" s="26"/>
      <c r="AE1422" s="26"/>
      <c r="AF1422" s="26"/>
      <c r="AG1422" s="26"/>
      <c r="AH1422" s="26"/>
      <c r="AI1422" s="26"/>
      <c r="AJ1422" s="26"/>
      <c r="AK1422" s="2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/>
    </row>
    <row r="1423">
      <c r="A1423" s="16" t="str">
        <f t="shared" si="14"/>
        <v/>
      </c>
      <c r="B1423" s="16" t="str">
        <f t="shared" si="15"/>
        <v/>
      </c>
      <c r="C1423" s="35" t="str">
        <f t="shared" si="16"/>
        <v/>
      </c>
      <c r="D1423" s="35" t="str">
        <f t="shared" si="17"/>
        <v/>
      </c>
      <c r="E1423" s="35" t="str">
        <f t="shared" si="18"/>
        <v/>
      </c>
      <c r="F1423" s="35" t="str">
        <f t="shared" si="19"/>
        <v/>
      </c>
      <c r="G1423" s="35" t="str">
        <f t="shared" si="20"/>
        <v/>
      </c>
      <c r="H1423" s="49"/>
      <c r="I1423" s="47" t="str">
        <f t="shared" si="21"/>
        <v/>
      </c>
      <c r="J1423" s="50"/>
      <c r="K1423" s="45" t="b">
        <v>0</v>
      </c>
      <c r="L1423" s="45"/>
      <c r="M1423" s="45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  <c r="AC1423" s="26"/>
      <c r="AD1423" s="26"/>
      <c r="AE1423" s="26"/>
      <c r="AF1423" s="26"/>
      <c r="AG1423" s="26"/>
      <c r="AH1423" s="26"/>
      <c r="AI1423" s="26"/>
      <c r="AJ1423" s="26"/>
      <c r="AK1423" s="2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46"/>
      <c r="BM1423" s="46"/>
      <c r="BN1423" s="46"/>
      <c r="BO1423" s="46"/>
    </row>
    <row r="1424">
      <c r="A1424" s="16" t="str">
        <f t="shared" si="14"/>
        <v/>
      </c>
      <c r="B1424" s="16" t="str">
        <f t="shared" si="15"/>
        <v/>
      </c>
      <c r="C1424" s="35" t="str">
        <f t="shared" si="16"/>
        <v/>
      </c>
      <c r="D1424" s="35" t="str">
        <f t="shared" si="17"/>
        <v/>
      </c>
      <c r="E1424" s="35" t="str">
        <f t="shared" si="18"/>
        <v/>
      </c>
      <c r="F1424" s="35" t="str">
        <f t="shared" si="19"/>
        <v/>
      </c>
      <c r="G1424" s="35" t="str">
        <f t="shared" si="20"/>
        <v/>
      </c>
      <c r="H1424" s="49"/>
      <c r="I1424" s="47" t="str">
        <f t="shared" si="21"/>
        <v/>
      </c>
      <c r="J1424" s="50"/>
      <c r="K1424" s="45" t="b">
        <v>0</v>
      </c>
      <c r="L1424" s="45"/>
      <c r="M1424" s="45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  <c r="AC1424" s="26"/>
      <c r="AD1424" s="26"/>
      <c r="AE1424" s="26"/>
      <c r="AF1424" s="26"/>
      <c r="AG1424" s="26"/>
      <c r="AH1424" s="26"/>
      <c r="AI1424" s="26"/>
      <c r="AJ1424" s="26"/>
      <c r="AK1424" s="2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46"/>
      <c r="BM1424" s="46"/>
      <c r="BN1424" s="46"/>
      <c r="BO1424" s="46"/>
    </row>
    <row r="1425">
      <c r="A1425" s="16" t="str">
        <f t="shared" si="14"/>
        <v/>
      </c>
      <c r="B1425" s="16" t="str">
        <f t="shared" si="15"/>
        <v/>
      </c>
      <c r="C1425" s="35" t="str">
        <f t="shared" si="16"/>
        <v/>
      </c>
      <c r="D1425" s="35" t="str">
        <f t="shared" si="17"/>
        <v/>
      </c>
      <c r="E1425" s="35" t="str">
        <f t="shared" si="18"/>
        <v/>
      </c>
      <c r="F1425" s="35" t="str">
        <f t="shared" si="19"/>
        <v/>
      </c>
      <c r="G1425" s="35" t="str">
        <f t="shared" si="20"/>
        <v/>
      </c>
      <c r="H1425" s="49"/>
      <c r="I1425" s="47" t="str">
        <f t="shared" si="21"/>
        <v/>
      </c>
      <c r="J1425" s="50"/>
      <c r="K1425" s="45" t="b">
        <v>0</v>
      </c>
      <c r="L1425" s="45"/>
      <c r="M1425" s="45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  <c r="AC1425" s="26"/>
      <c r="AD1425" s="26"/>
      <c r="AE1425" s="26"/>
      <c r="AF1425" s="26"/>
      <c r="AG1425" s="26"/>
      <c r="AH1425" s="26"/>
      <c r="AI1425" s="26"/>
      <c r="AJ1425" s="26"/>
      <c r="AK1425" s="2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46"/>
      <c r="BM1425" s="46"/>
      <c r="BN1425" s="46"/>
      <c r="BO1425" s="46"/>
    </row>
    <row r="1426">
      <c r="A1426" s="16" t="str">
        <f t="shared" si="14"/>
        <v/>
      </c>
      <c r="B1426" s="16" t="str">
        <f t="shared" si="15"/>
        <v/>
      </c>
      <c r="C1426" s="35" t="str">
        <f t="shared" si="16"/>
        <v/>
      </c>
      <c r="D1426" s="35" t="str">
        <f t="shared" si="17"/>
        <v/>
      </c>
      <c r="E1426" s="35" t="str">
        <f t="shared" si="18"/>
        <v/>
      </c>
      <c r="F1426" s="35" t="str">
        <f t="shared" si="19"/>
        <v/>
      </c>
      <c r="G1426" s="35" t="str">
        <f t="shared" si="20"/>
        <v/>
      </c>
      <c r="H1426" s="49"/>
      <c r="I1426" s="47" t="str">
        <f t="shared" si="21"/>
        <v/>
      </c>
      <c r="J1426" s="50"/>
      <c r="K1426" s="45" t="b">
        <v>0</v>
      </c>
      <c r="L1426" s="45"/>
      <c r="M1426" s="45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  <c r="AC1426" s="26"/>
      <c r="AD1426" s="26"/>
      <c r="AE1426" s="26"/>
      <c r="AF1426" s="26"/>
      <c r="AG1426" s="26"/>
      <c r="AH1426" s="26"/>
      <c r="AI1426" s="26"/>
      <c r="AJ1426" s="26"/>
      <c r="AK1426" s="2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46"/>
      <c r="BM1426" s="46"/>
      <c r="BN1426" s="46"/>
      <c r="BO1426" s="46"/>
    </row>
    <row r="1427">
      <c r="A1427" s="16" t="str">
        <f t="shared" si="14"/>
        <v/>
      </c>
      <c r="B1427" s="16" t="str">
        <f t="shared" si="15"/>
        <v/>
      </c>
      <c r="C1427" s="35" t="str">
        <f t="shared" si="16"/>
        <v/>
      </c>
      <c r="D1427" s="35" t="str">
        <f t="shared" si="17"/>
        <v/>
      </c>
      <c r="E1427" s="35" t="str">
        <f t="shared" si="18"/>
        <v/>
      </c>
      <c r="F1427" s="35" t="str">
        <f t="shared" si="19"/>
        <v/>
      </c>
      <c r="G1427" s="35" t="str">
        <f t="shared" si="20"/>
        <v/>
      </c>
      <c r="H1427" s="49"/>
      <c r="I1427" s="47" t="str">
        <f t="shared" si="21"/>
        <v/>
      </c>
      <c r="J1427" s="50"/>
      <c r="K1427" s="45" t="b">
        <v>0</v>
      </c>
      <c r="L1427" s="45"/>
      <c r="M1427" s="45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  <c r="AC1427" s="26"/>
      <c r="AD1427" s="26"/>
      <c r="AE1427" s="26"/>
      <c r="AF1427" s="26"/>
      <c r="AG1427" s="26"/>
      <c r="AH1427" s="26"/>
      <c r="AI1427" s="26"/>
      <c r="AJ1427" s="26"/>
      <c r="AK1427" s="2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46"/>
      <c r="BM1427" s="46"/>
      <c r="BN1427" s="46"/>
      <c r="BO1427" s="46"/>
    </row>
    <row r="1428">
      <c r="A1428" s="16" t="str">
        <f t="shared" si="14"/>
        <v/>
      </c>
      <c r="B1428" s="16" t="str">
        <f t="shared" si="15"/>
        <v/>
      </c>
      <c r="C1428" s="35" t="str">
        <f t="shared" si="16"/>
        <v/>
      </c>
      <c r="D1428" s="35" t="str">
        <f t="shared" si="17"/>
        <v/>
      </c>
      <c r="E1428" s="35" t="str">
        <f t="shared" si="18"/>
        <v/>
      </c>
      <c r="F1428" s="35" t="str">
        <f t="shared" si="19"/>
        <v/>
      </c>
      <c r="G1428" s="35" t="str">
        <f t="shared" si="20"/>
        <v/>
      </c>
      <c r="H1428" s="49"/>
      <c r="I1428" s="47" t="str">
        <f t="shared" si="21"/>
        <v/>
      </c>
      <c r="J1428" s="50"/>
      <c r="K1428" s="45" t="b">
        <v>0</v>
      </c>
      <c r="L1428" s="45"/>
      <c r="M1428" s="45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  <c r="AC1428" s="26"/>
      <c r="AD1428" s="26"/>
      <c r="AE1428" s="26"/>
      <c r="AF1428" s="26"/>
      <c r="AG1428" s="26"/>
      <c r="AH1428" s="26"/>
      <c r="AI1428" s="26"/>
      <c r="AJ1428" s="26"/>
      <c r="AK1428" s="2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/>
    </row>
    <row r="1429">
      <c r="A1429" s="16" t="str">
        <f t="shared" si="14"/>
        <v/>
      </c>
      <c r="B1429" s="16" t="str">
        <f t="shared" si="15"/>
        <v/>
      </c>
      <c r="C1429" s="35" t="str">
        <f t="shared" si="16"/>
        <v/>
      </c>
      <c r="D1429" s="35" t="str">
        <f t="shared" si="17"/>
        <v/>
      </c>
      <c r="E1429" s="35" t="str">
        <f t="shared" si="18"/>
        <v/>
      </c>
      <c r="F1429" s="35" t="str">
        <f t="shared" si="19"/>
        <v/>
      </c>
      <c r="G1429" s="35" t="str">
        <f t="shared" si="20"/>
        <v/>
      </c>
      <c r="H1429" s="49"/>
      <c r="I1429" s="47" t="str">
        <f t="shared" si="21"/>
        <v/>
      </c>
      <c r="J1429" s="50"/>
      <c r="K1429" s="45" t="b">
        <v>0</v>
      </c>
      <c r="L1429" s="45"/>
      <c r="M1429" s="45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  <c r="AD1429" s="26"/>
      <c r="AE1429" s="26"/>
      <c r="AF1429" s="26"/>
      <c r="AG1429" s="26"/>
      <c r="AH1429" s="26"/>
      <c r="AI1429" s="26"/>
      <c r="AJ1429" s="26"/>
      <c r="AK1429" s="2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46"/>
      <c r="BM1429" s="46"/>
      <c r="BN1429" s="46"/>
      <c r="BO1429" s="46"/>
    </row>
    <row r="1430">
      <c r="A1430" s="16" t="str">
        <f t="shared" si="14"/>
        <v/>
      </c>
      <c r="B1430" s="16" t="str">
        <f t="shared" si="15"/>
        <v/>
      </c>
      <c r="C1430" s="35" t="str">
        <f t="shared" si="16"/>
        <v/>
      </c>
      <c r="D1430" s="35" t="str">
        <f t="shared" si="17"/>
        <v/>
      </c>
      <c r="E1430" s="35" t="str">
        <f t="shared" si="18"/>
        <v/>
      </c>
      <c r="F1430" s="35" t="str">
        <f t="shared" si="19"/>
        <v/>
      </c>
      <c r="G1430" s="35" t="str">
        <f t="shared" si="20"/>
        <v/>
      </c>
      <c r="H1430" s="49"/>
      <c r="I1430" s="47" t="str">
        <f t="shared" si="21"/>
        <v/>
      </c>
      <c r="J1430" s="50"/>
      <c r="K1430" s="45" t="b">
        <v>0</v>
      </c>
      <c r="L1430" s="45"/>
      <c r="M1430" s="45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  <c r="AD1430" s="26"/>
      <c r="AE1430" s="26"/>
      <c r="AF1430" s="26"/>
      <c r="AG1430" s="26"/>
      <c r="AH1430" s="26"/>
      <c r="AI1430" s="26"/>
      <c r="AJ1430" s="26"/>
      <c r="AK1430" s="2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46"/>
      <c r="BM1430" s="46"/>
      <c r="BN1430" s="46"/>
      <c r="BO1430" s="46"/>
    </row>
    <row r="1431">
      <c r="A1431" s="16" t="str">
        <f t="shared" si="14"/>
        <v/>
      </c>
      <c r="B1431" s="16" t="str">
        <f t="shared" si="15"/>
        <v/>
      </c>
      <c r="C1431" s="35" t="str">
        <f t="shared" si="16"/>
        <v/>
      </c>
      <c r="D1431" s="35" t="str">
        <f t="shared" si="17"/>
        <v/>
      </c>
      <c r="E1431" s="35" t="str">
        <f t="shared" si="18"/>
        <v/>
      </c>
      <c r="F1431" s="35" t="str">
        <f t="shared" si="19"/>
        <v/>
      </c>
      <c r="G1431" s="35" t="str">
        <f t="shared" si="20"/>
        <v/>
      </c>
      <c r="H1431" s="49"/>
      <c r="I1431" s="47" t="str">
        <f t="shared" si="21"/>
        <v/>
      </c>
      <c r="J1431" s="50"/>
      <c r="K1431" s="45" t="b">
        <v>0</v>
      </c>
      <c r="L1431" s="45"/>
      <c r="M1431" s="45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  <c r="AC1431" s="26"/>
      <c r="AD1431" s="26"/>
      <c r="AE1431" s="26"/>
      <c r="AF1431" s="26"/>
      <c r="AG1431" s="26"/>
      <c r="AH1431" s="26"/>
      <c r="AI1431" s="26"/>
      <c r="AJ1431" s="26"/>
      <c r="AK1431" s="2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46"/>
      <c r="BM1431" s="46"/>
      <c r="BN1431" s="46"/>
      <c r="BO1431" s="46"/>
    </row>
    <row r="1432">
      <c r="A1432" s="16" t="str">
        <f t="shared" si="14"/>
        <v/>
      </c>
      <c r="B1432" s="16" t="str">
        <f t="shared" si="15"/>
        <v/>
      </c>
      <c r="C1432" s="35" t="str">
        <f t="shared" si="16"/>
        <v/>
      </c>
      <c r="D1432" s="35" t="str">
        <f t="shared" si="17"/>
        <v/>
      </c>
      <c r="E1432" s="35" t="str">
        <f t="shared" si="18"/>
        <v/>
      </c>
      <c r="F1432" s="35" t="str">
        <f t="shared" si="19"/>
        <v/>
      </c>
      <c r="G1432" s="35" t="str">
        <f t="shared" si="20"/>
        <v/>
      </c>
      <c r="H1432" s="49"/>
      <c r="I1432" s="47" t="str">
        <f t="shared" si="21"/>
        <v/>
      </c>
      <c r="J1432" s="50"/>
      <c r="K1432" s="45" t="b">
        <v>0</v>
      </c>
      <c r="L1432" s="45"/>
      <c r="M1432" s="45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  <c r="AC1432" s="26"/>
      <c r="AD1432" s="26"/>
      <c r="AE1432" s="26"/>
      <c r="AF1432" s="26"/>
      <c r="AG1432" s="26"/>
      <c r="AH1432" s="26"/>
      <c r="AI1432" s="26"/>
      <c r="AJ1432" s="26"/>
      <c r="AK1432" s="2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46"/>
      <c r="BM1432" s="46"/>
      <c r="BN1432" s="46"/>
      <c r="BO1432" s="46"/>
    </row>
    <row r="1433">
      <c r="A1433" s="16" t="str">
        <f t="shared" si="14"/>
        <v/>
      </c>
      <c r="B1433" s="16" t="str">
        <f t="shared" si="15"/>
        <v/>
      </c>
      <c r="C1433" s="35" t="str">
        <f t="shared" si="16"/>
        <v/>
      </c>
      <c r="D1433" s="35" t="str">
        <f t="shared" si="17"/>
        <v/>
      </c>
      <c r="E1433" s="35" t="str">
        <f t="shared" si="18"/>
        <v/>
      </c>
      <c r="F1433" s="35" t="str">
        <f t="shared" si="19"/>
        <v/>
      </c>
      <c r="G1433" s="35" t="str">
        <f t="shared" si="20"/>
        <v/>
      </c>
      <c r="H1433" s="49"/>
      <c r="I1433" s="47" t="str">
        <f t="shared" si="21"/>
        <v/>
      </c>
      <c r="J1433" s="50"/>
      <c r="K1433" s="45" t="b">
        <v>0</v>
      </c>
      <c r="L1433" s="45"/>
      <c r="M1433" s="45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  <c r="AD1433" s="26"/>
      <c r="AE1433" s="26"/>
      <c r="AF1433" s="26"/>
      <c r="AG1433" s="26"/>
      <c r="AH1433" s="26"/>
      <c r="AI1433" s="26"/>
      <c r="AJ1433" s="26"/>
      <c r="AK1433" s="2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46"/>
      <c r="BM1433" s="46"/>
      <c r="BN1433" s="46"/>
      <c r="BO1433" s="46"/>
    </row>
    <row r="1434">
      <c r="A1434" s="16" t="str">
        <f t="shared" si="14"/>
        <v/>
      </c>
      <c r="B1434" s="16" t="str">
        <f t="shared" si="15"/>
        <v/>
      </c>
      <c r="C1434" s="35" t="str">
        <f t="shared" si="16"/>
        <v/>
      </c>
      <c r="D1434" s="35" t="str">
        <f t="shared" si="17"/>
        <v/>
      </c>
      <c r="E1434" s="35" t="str">
        <f t="shared" si="18"/>
        <v/>
      </c>
      <c r="F1434" s="35" t="str">
        <f t="shared" si="19"/>
        <v/>
      </c>
      <c r="G1434" s="35" t="str">
        <f t="shared" si="20"/>
        <v/>
      </c>
      <c r="H1434" s="49"/>
      <c r="I1434" s="47" t="str">
        <f t="shared" si="21"/>
        <v/>
      </c>
      <c r="J1434" s="50"/>
      <c r="K1434" s="45" t="b">
        <v>0</v>
      </c>
      <c r="L1434" s="45"/>
      <c r="M1434" s="45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  <c r="AC1434" s="26"/>
      <c r="AD1434" s="26"/>
      <c r="AE1434" s="26"/>
      <c r="AF1434" s="26"/>
      <c r="AG1434" s="26"/>
      <c r="AH1434" s="26"/>
      <c r="AI1434" s="26"/>
      <c r="AJ1434" s="26"/>
      <c r="AK1434" s="2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46"/>
      <c r="BM1434" s="46"/>
      <c r="BN1434" s="46"/>
      <c r="BO1434" s="46"/>
    </row>
    <row r="1435">
      <c r="A1435" s="16" t="str">
        <f t="shared" si="14"/>
        <v/>
      </c>
      <c r="B1435" s="16" t="str">
        <f t="shared" si="15"/>
        <v/>
      </c>
      <c r="C1435" s="35" t="str">
        <f t="shared" si="16"/>
        <v/>
      </c>
      <c r="D1435" s="35" t="str">
        <f t="shared" si="17"/>
        <v/>
      </c>
      <c r="E1435" s="35" t="str">
        <f t="shared" si="18"/>
        <v/>
      </c>
      <c r="F1435" s="35" t="str">
        <f t="shared" si="19"/>
        <v/>
      </c>
      <c r="G1435" s="35" t="str">
        <f t="shared" si="20"/>
        <v/>
      </c>
      <c r="H1435" s="49"/>
      <c r="I1435" s="47" t="str">
        <f t="shared" si="21"/>
        <v/>
      </c>
      <c r="J1435" s="50"/>
      <c r="K1435" s="45" t="b">
        <v>0</v>
      </c>
      <c r="L1435" s="45"/>
      <c r="M1435" s="45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  <c r="AB1435" s="26"/>
      <c r="AC1435" s="26"/>
      <c r="AD1435" s="26"/>
      <c r="AE1435" s="26"/>
      <c r="AF1435" s="26"/>
      <c r="AG1435" s="26"/>
      <c r="AH1435" s="26"/>
      <c r="AI1435" s="26"/>
      <c r="AJ1435" s="26"/>
      <c r="AK1435" s="2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46"/>
      <c r="BM1435" s="46"/>
      <c r="BN1435" s="46"/>
      <c r="BO1435" s="46"/>
    </row>
    <row r="1436">
      <c r="A1436" s="16" t="str">
        <f t="shared" si="14"/>
        <v/>
      </c>
      <c r="B1436" s="16" t="str">
        <f t="shared" si="15"/>
        <v/>
      </c>
      <c r="C1436" s="35" t="str">
        <f t="shared" si="16"/>
        <v/>
      </c>
      <c r="D1436" s="35" t="str">
        <f t="shared" si="17"/>
        <v/>
      </c>
      <c r="E1436" s="35" t="str">
        <f t="shared" si="18"/>
        <v/>
      </c>
      <c r="F1436" s="35" t="str">
        <f t="shared" si="19"/>
        <v/>
      </c>
      <c r="G1436" s="35" t="str">
        <f t="shared" si="20"/>
        <v/>
      </c>
      <c r="H1436" s="49"/>
      <c r="I1436" s="47" t="str">
        <f t="shared" si="21"/>
        <v/>
      </c>
      <c r="J1436" s="50"/>
      <c r="K1436" s="45" t="b">
        <v>0</v>
      </c>
      <c r="L1436" s="45"/>
      <c r="M1436" s="45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  <c r="AC1436" s="26"/>
      <c r="AD1436" s="26"/>
      <c r="AE1436" s="26"/>
      <c r="AF1436" s="26"/>
      <c r="AG1436" s="26"/>
      <c r="AH1436" s="26"/>
      <c r="AI1436" s="26"/>
      <c r="AJ1436" s="26"/>
      <c r="AK1436" s="2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46"/>
      <c r="BM1436" s="46"/>
      <c r="BN1436" s="46"/>
      <c r="BO1436" s="46"/>
    </row>
    <row r="1437">
      <c r="A1437" s="16" t="str">
        <f t="shared" si="14"/>
        <v/>
      </c>
      <c r="B1437" s="16" t="str">
        <f t="shared" si="15"/>
        <v/>
      </c>
      <c r="C1437" s="35" t="str">
        <f t="shared" si="16"/>
        <v/>
      </c>
      <c r="D1437" s="35" t="str">
        <f t="shared" si="17"/>
        <v/>
      </c>
      <c r="E1437" s="35" t="str">
        <f t="shared" si="18"/>
        <v/>
      </c>
      <c r="F1437" s="35" t="str">
        <f t="shared" si="19"/>
        <v/>
      </c>
      <c r="G1437" s="35" t="str">
        <f t="shared" si="20"/>
        <v/>
      </c>
      <c r="H1437" s="49"/>
      <c r="I1437" s="47" t="str">
        <f t="shared" si="21"/>
        <v/>
      </c>
      <c r="J1437" s="50"/>
      <c r="K1437" s="45" t="b">
        <v>0</v>
      </c>
      <c r="L1437" s="45"/>
      <c r="M1437" s="45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  <c r="AC1437" s="26"/>
      <c r="AD1437" s="26"/>
      <c r="AE1437" s="26"/>
      <c r="AF1437" s="26"/>
      <c r="AG1437" s="26"/>
      <c r="AH1437" s="26"/>
      <c r="AI1437" s="26"/>
      <c r="AJ1437" s="26"/>
      <c r="AK1437" s="2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46"/>
      <c r="BM1437" s="46"/>
      <c r="BN1437" s="46"/>
      <c r="BO1437" s="46"/>
    </row>
    <row r="1438">
      <c r="A1438" s="16" t="str">
        <f t="shared" si="14"/>
        <v/>
      </c>
      <c r="B1438" s="16" t="str">
        <f t="shared" si="15"/>
        <v/>
      </c>
      <c r="C1438" s="35" t="str">
        <f t="shared" si="16"/>
        <v/>
      </c>
      <c r="D1438" s="35" t="str">
        <f t="shared" si="17"/>
        <v/>
      </c>
      <c r="E1438" s="35" t="str">
        <f t="shared" si="18"/>
        <v/>
      </c>
      <c r="F1438" s="35" t="str">
        <f t="shared" si="19"/>
        <v/>
      </c>
      <c r="G1438" s="35" t="str">
        <f t="shared" si="20"/>
        <v/>
      </c>
      <c r="H1438" s="49"/>
      <c r="I1438" s="47" t="str">
        <f t="shared" si="21"/>
        <v/>
      </c>
      <c r="J1438" s="50"/>
      <c r="K1438" s="45" t="b">
        <v>0</v>
      </c>
      <c r="L1438" s="45"/>
      <c r="M1438" s="45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  <c r="AB1438" s="26"/>
      <c r="AC1438" s="26"/>
      <c r="AD1438" s="26"/>
      <c r="AE1438" s="26"/>
      <c r="AF1438" s="26"/>
      <c r="AG1438" s="26"/>
      <c r="AH1438" s="26"/>
      <c r="AI1438" s="26"/>
      <c r="AJ1438" s="26"/>
      <c r="AK1438" s="2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46"/>
      <c r="BM1438" s="46"/>
      <c r="BN1438" s="46"/>
      <c r="BO1438" s="46"/>
    </row>
    <row r="1439">
      <c r="A1439" s="16" t="str">
        <f t="shared" si="14"/>
        <v/>
      </c>
      <c r="B1439" s="16" t="str">
        <f t="shared" si="15"/>
        <v/>
      </c>
      <c r="C1439" s="35" t="str">
        <f t="shared" si="16"/>
        <v/>
      </c>
      <c r="D1439" s="35" t="str">
        <f t="shared" si="17"/>
        <v/>
      </c>
      <c r="E1439" s="35" t="str">
        <f t="shared" si="18"/>
        <v/>
      </c>
      <c r="F1439" s="35" t="str">
        <f t="shared" si="19"/>
        <v/>
      </c>
      <c r="G1439" s="35" t="str">
        <f t="shared" si="20"/>
        <v/>
      </c>
      <c r="H1439" s="49"/>
      <c r="I1439" s="47" t="str">
        <f t="shared" si="21"/>
        <v/>
      </c>
      <c r="J1439" s="50"/>
      <c r="K1439" s="45" t="b">
        <v>0</v>
      </c>
      <c r="L1439" s="45"/>
      <c r="M1439" s="45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  <c r="AC1439" s="26"/>
      <c r="AD1439" s="26"/>
      <c r="AE1439" s="26"/>
      <c r="AF1439" s="26"/>
      <c r="AG1439" s="26"/>
      <c r="AH1439" s="26"/>
      <c r="AI1439" s="26"/>
      <c r="AJ1439" s="26"/>
      <c r="AK1439" s="2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46"/>
      <c r="BM1439" s="46"/>
      <c r="BN1439" s="46"/>
      <c r="BO1439" s="46"/>
    </row>
    <row r="1440">
      <c r="A1440" s="16" t="str">
        <f t="shared" si="14"/>
        <v/>
      </c>
      <c r="B1440" s="16" t="str">
        <f t="shared" si="15"/>
        <v/>
      </c>
      <c r="C1440" s="35" t="str">
        <f t="shared" si="16"/>
        <v/>
      </c>
      <c r="D1440" s="35" t="str">
        <f t="shared" si="17"/>
        <v/>
      </c>
      <c r="E1440" s="35" t="str">
        <f t="shared" si="18"/>
        <v/>
      </c>
      <c r="F1440" s="35" t="str">
        <f t="shared" si="19"/>
        <v/>
      </c>
      <c r="G1440" s="35" t="str">
        <f t="shared" si="20"/>
        <v/>
      </c>
      <c r="H1440" s="49"/>
      <c r="I1440" s="47" t="str">
        <f t="shared" si="21"/>
        <v/>
      </c>
      <c r="J1440" s="50"/>
      <c r="K1440" s="45" t="b">
        <v>0</v>
      </c>
      <c r="L1440" s="45"/>
      <c r="M1440" s="45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  <c r="AC1440" s="26"/>
      <c r="AD1440" s="26"/>
      <c r="AE1440" s="26"/>
      <c r="AF1440" s="26"/>
      <c r="AG1440" s="26"/>
      <c r="AH1440" s="26"/>
      <c r="AI1440" s="26"/>
      <c r="AJ1440" s="26"/>
      <c r="AK1440" s="2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46"/>
      <c r="BM1440" s="46"/>
      <c r="BN1440" s="46"/>
      <c r="BO1440" s="46"/>
    </row>
    <row r="1441">
      <c r="A1441" s="16" t="str">
        <f t="shared" si="14"/>
        <v/>
      </c>
      <c r="B1441" s="16" t="str">
        <f t="shared" si="15"/>
        <v/>
      </c>
      <c r="C1441" s="35" t="str">
        <f t="shared" si="16"/>
        <v/>
      </c>
      <c r="D1441" s="35" t="str">
        <f t="shared" si="17"/>
        <v/>
      </c>
      <c r="E1441" s="35" t="str">
        <f t="shared" si="18"/>
        <v/>
      </c>
      <c r="F1441" s="35" t="str">
        <f t="shared" si="19"/>
        <v/>
      </c>
      <c r="G1441" s="35" t="str">
        <f t="shared" si="20"/>
        <v/>
      </c>
      <c r="H1441" s="49"/>
      <c r="I1441" s="47" t="str">
        <f t="shared" si="21"/>
        <v/>
      </c>
      <c r="J1441" s="50"/>
      <c r="K1441" s="45" t="b">
        <v>0</v>
      </c>
      <c r="L1441" s="45"/>
      <c r="M1441" s="45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  <c r="AC1441" s="26"/>
      <c r="AD1441" s="26"/>
      <c r="AE1441" s="26"/>
      <c r="AF1441" s="26"/>
      <c r="AG1441" s="26"/>
      <c r="AH1441" s="26"/>
      <c r="AI1441" s="26"/>
      <c r="AJ1441" s="26"/>
      <c r="AK1441" s="2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46"/>
      <c r="BM1441" s="46"/>
      <c r="BN1441" s="46"/>
      <c r="BO1441" s="46"/>
    </row>
    <row r="1442">
      <c r="A1442" s="16" t="str">
        <f t="shared" si="14"/>
        <v/>
      </c>
      <c r="B1442" s="16" t="str">
        <f t="shared" si="15"/>
        <v/>
      </c>
      <c r="C1442" s="35" t="str">
        <f t="shared" si="16"/>
        <v/>
      </c>
      <c r="D1442" s="35" t="str">
        <f t="shared" si="17"/>
        <v/>
      </c>
      <c r="E1442" s="35" t="str">
        <f t="shared" si="18"/>
        <v/>
      </c>
      <c r="F1442" s="35" t="str">
        <f t="shared" si="19"/>
        <v/>
      </c>
      <c r="G1442" s="35" t="str">
        <f t="shared" si="20"/>
        <v/>
      </c>
      <c r="H1442" s="49"/>
      <c r="I1442" s="47" t="str">
        <f t="shared" si="21"/>
        <v/>
      </c>
      <c r="J1442" s="50"/>
      <c r="K1442" s="45" t="b">
        <v>0</v>
      </c>
      <c r="L1442" s="45"/>
      <c r="M1442" s="45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  <c r="AC1442" s="26"/>
      <c r="AD1442" s="26"/>
      <c r="AE1442" s="26"/>
      <c r="AF1442" s="26"/>
      <c r="AG1442" s="26"/>
      <c r="AH1442" s="26"/>
      <c r="AI1442" s="26"/>
      <c r="AJ1442" s="26"/>
      <c r="AK1442" s="2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46"/>
      <c r="BM1442" s="46"/>
      <c r="BN1442" s="46"/>
      <c r="BO1442" s="46"/>
    </row>
    <row r="1443">
      <c r="A1443" s="16" t="str">
        <f t="shared" si="14"/>
        <v/>
      </c>
      <c r="B1443" s="16" t="str">
        <f t="shared" si="15"/>
        <v/>
      </c>
      <c r="C1443" s="35" t="str">
        <f t="shared" si="16"/>
        <v/>
      </c>
      <c r="D1443" s="35" t="str">
        <f t="shared" si="17"/>
        <v/>
      </c>
      <c r="E1443" s="35" t="str">
        <f t="shared" si="18"/>
        <v/>
      </c>
      <c r="F1443" s="35" t="str">
        <f t="shared" si="19"/>
        <v/>
      </c>
      <c r="G1443" s="35" t="str">
        <f t="shared" si="20"/>
        <v/>
      </c>
      <c r="H1443" s="49"/>
      <c r="I1443" s="47" t="str">
        <f t="shared" si="21"/>
        <v/>
      </c>
      <c r="J1443" s="50"/>
      <c r="K1443" s="45" t="b">
        <v>0</v>
      </c>
      <c r="L1443" s="45"/>
      <c r="M1443" s="45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  <c r="AC1443" s="26"/>
      <c r="AD1443" s="26"/>
      <c r="AE1443" s="26"/>
      <c r="AF1443" s="26"/>
      <c r="AG1443" s="26"/>
      <c r="AH1443" s="26"/>
      <c r="AI1443" s="26"/>
      <c r="AJ1443" s="26"/>
      <c r="AK1443" s="2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46"/>
      <c r="BM1443" s="46"/>
      <c r="BN1443" s="46"/>
      <c r="BO1443" s="46"/>
    </row>
    <row r="1444">
      <c r="A1444" s="16" t="str">
        <f t="shared" si="14"/>
        <v/>
      </c>
      <c r="B1444" s="16" t="str">
        <f t="shared" si="15"/>
        <v/>
      </c>
      <c r="C1444" s="35" t="str">
        <f t="shared" si="16"/>
        <v/>
      </c>
      <c r="D1444" s="35" t="str">
        <f t="shared" si="17"/>
        <v/>
      </c>
      <c r="E1444" s="35" t="str">
        <f t="shared" si="18"/>
        <v/>
      </c>
      <c r="F1444" s="35" t="str">
        <f t="shared" si="19"/>
        <v/>
      </c>
      <c r="G1444" s="35" t="str">
        <f t="shared" si="20"/>
        <v/>
      </c>
      <c r="H1444" s="49"/>
      <c r="I1444" s="47" t="str">
        <f t="shared" si="21"/>
        <v/>
      </c>
      <c r="J1444" s="50"/>
      <c r="K1444" s="45" t="b">
        <v>0</v>
      </c>
      <c r="L1444" s="45"/>
      <c r="M1444" s="45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  <c r="AC1444" s="26"/>
      <c r="AD1444" s="26"/>
      <c r="AE1444" s="26"/>
      <c r="AF1444" s="26"/>
      <c r="AG1444" s="26"/>
      <c r="AH1444" s="26"/>
      <c r="AI1444" s="26"/>
      <c r="AJ1444" s="26"/>
      <c r="AK1444" s="2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46"/>
      <c r="BM1444" s="46"/>
      <c r="BN1444" s="46"/>
      <c r="BO1444" s="46"/>
    </row>
    <row r="1445">
      <c r="A1445" s="16" t="str">
        <f t="shared" si="14"/>
        <v/>
      </c>
      <c r="B1445" s="16" t="str">
        <f t="shared" si="15"/>
        <v/>
      </c>
      <c r="C1445" s="35" t="str">
        <f t="shared" si="16"/>
        <v/>
      </c>
      <c r="D1445" s="35" t="str">
        <f t="shared" si="17"/>
        <v/>
      </c>
      <c r="E1445" s="35" t="str">
        <f t="shared" si="18"/>
        <v/>
      </c>
      <c r="F1445" s="35" t="str">
        <f t="shared" si="19"/>
        <v/>
      </c>
      <c r="G1445" s="35" t="str">
        <f t="shared" si="20"/>
        <v/>
      </c>
      <c r="H1445" s="49"/>
      <c r="I1445" s="47" t="str">
        <f t="shared" si="21"/>
        <v/>
      </c>
      <c r="J1445" s="50"/>
      <c r="K1445" s="45" t="b">
        <v>0</v>
      </c>
      <c r="L1445" s="45"/>
      <c r="M1445" s="45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  <c r="AC1445" s="26"/>
      <c r="AD1445" s="26"/>
      <c r="AE1445" s="26"/>
      <c r="AF1445" s="26"/>
      <c r="AG1445" s="26"/>
      <c r="AH1445" s="26"/>
      <c r="AI1445" s="26"/>
      <c r="AJ1445" s="26"/>
      <c r="AK1445" s="2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46"/>
      <c r="BM1445" s="46"/>
      <c r="BN1445" s="46"/>
      <c r="BO1445" s="46"/>
    </row>
    <row r="1446">
      <c r="A1446" s="16" t="str">
        <f t="shared" si="14"/>
        <v/>
      </c>
      <c r="B1446" s="16" t="str">
        <f t="shared" si="15"/>
        <v/>
      </c>
      <c r="C1446" s="35" t="str">
        <f t="shared" si="16"/>
        <v/>
      </c>
      <c r="D1446" s="35" t="str">
        <f t="shared" si="17"/>
        <v/>
      </c>
      <c r="E1446" s="35" t="str">
        <f t="shared" si="18"/>
        <v/>
      </c>
      <c r="F1446" s="35" t="str">
        <f t="shared" si="19"/>
        <v/>
      </c>
      <c r="G1446" s="35" t="str">
        <f t="shared" si="20"/>
        <v/>
      </c>
      <c r="H1446" s="49"/>
      <c r="I1446" s="47" t="str">
        <f t="shared" si="21"/>
        <v/>
      </c>
      <c r="J1446" s="50"/>
      <c r="K1446" s="45" t="b">
        <v>0</v>
      </c>
      <c r="L1446" s="45"/>
      <c r="M1446" s="45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  <c r="AB1446" s="26"/>
      <c r="AC1446" s="26"/>
      <c r="AD1446" s="26"/>
      <c r="AE1446" s="26"/>
      <c r="AF1446" s="26"/>
      <c r="AG1446" s="26"/>
      <c r="AH1446" s="26"/>
      <c r="AI1446" s="26"/>
      <c r="AJ1446" s="26"/>
      <c r="AK1446" s="2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46"/>
      <c r="BM1446" s="46"/>
      <c r="BN1446" s="46"/>
      <c r="BO1446" s="46"/>
    </row>
    <row r="1447">
      <c r="A1447" s="16" t="str">
        <f t="shared" si="14"/>
        <v/>
      </c>
      <c r="B1447" s="16" t="str">
        <f t="shared" si="15"/>
        <v/>
      </c>
      <c r="C1447" s="35" t="str">
        <f t="shared" si="16"/>
        <v/>
      </c>
      <c r="D1447" s="35" t="str">
        <f t="shared" si="17"/>
        <v/>
      </c>
      <c r="E1447" s="35" t="str">
        <f t="shared" si="18"/>
        <v/>
      </c>
      <c r="F1447" s="35" t="str">
        <f t="shared" si="19"/>
        <v/>
      </c>
      <c r="G1447" s="35" t="str">
        <f t="shared" si="20"/>
        <v/>
      </c>
      <c r="H1447" s="49"/>
      <c r="I1447" s="47" t="str">
        <f t="shared" si="21"/>
        <v/>
      </c>
      <c r="J1447" s="50"/>
      <c r="K1447" s="45" t="b">
        <v>0</v>
      </c>
      <c r="L1447" s="45"/>
      <c r="M1447" s="45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  <c r="AC1447" s="26"/>
      <c r="AD1447" s="26"/>
      <c r="AE1447" s="26"/>
      <c r="AF1447" s="26"/>
      <c r="AG1447" s="26"/>
      <c r="AH1447" s="26"/>
      <c r="AI1447" s="26"/>
      <c r="AJ1447" s="26"/>
      <c r="AK1447" s="2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46"/>
      <c r="BM1447" s="46"/>
      <c r="BN1447" s="46"/>
      <c r="BO1447" s="46"/>
    </row>
    <row r="1448">
      <c r="A1448" s="16" t="str">
        <f t="shared" si="14"/>
        <v/>
      </c>
      <c r="B1448" s="16" t="str">
        <f t="shared" si="15"/>
        <v/>
      </c>
      <c r="C1448" s="35" t="str">
        <f t="shared" si="16"/>
        <v/>
      </c>
      <c r="D1448" s="35" t="str">
        <f t="shared" si="17"/>
        <v/>
      </c>
      <c r="E1448" s="35" t="str">
        <f t="shared" si="18"/>
        <v/>
      </c>
      <c r="F1448" s="35" t="str">
        <f t="shared" si="19"/>
        <v/>
      </c>
      <c r="G1448" s="35" t="str">
        <f t="shared" si="20"/>
        <v/>
      </c>
      <c r="H1448" s="49"/>
      <c r="I1448" s="47" t="str">
        <f t="shared" si="21"/>
        <v/>
      </c>
      <c r="J1448" s="50"/>
      <c r="K1448" s="45" t="b">
        <v>0</v>
      </c>
      <c r="L1448" s="45"/>
      <c r="M1448" s="45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  <c r="AC1448" s="26"/>
      <c r="AD1448" s="26"/>
      <c r="AE1448" s="26"/>
      <c r="AF1448" s="26"/>
      <c r="AG1448" s="26"/>
      <c r="AH1448" s="26"/>
      <c r="AI1448" s="26"/>
      <c r="AJ1448" s="26"/>
      <c r="AK1448" s="2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46"/>
      <c r="BM1448" s="46"/>
      <c r="BN1448" s="46"/>
      <c r="BO1448" s="46"/>
    </row>
    <row r="1449">
      <c r="A1449" s="16" t="str">
        <f t="shared" si="14"/>
        <v/>
      </c>
      <c r="B1449" s="16" t="str">
        <f t="shared" si="15"/>
        <v/>
      </c>
      <c r="C1449" s="35" t="str">
        <f t="shared" si="16"/>
        <v/>
      </c>
      <c r="D1449" s="35" t="str">
        <f t="shared" si="17"/>
        <v/>
      </c>
      <c r="E1449" s="35" t="str">
        <f t="shared" si="18"/>
        <v/>
      </c>
      <c r="F1449" s="35" t="str">
        <f t="shared" si="19"/>
        <v/>
      </c>
      <c r="G1449" s="35" t="str">
        <f t="shared" si="20"/>
        <v/>
      </c>
      <c r="H1449" s="49"/>
      <c r="I1449" s="47" t="str">
        <f t="shared" si="21"/>
        <v/>
      </c>
      <c r="J1449" s="50"/>
      <c r="K1449" s="45" t="b">
        <v>0</v>
      </c>
      <c r="L1449" s="45"/>
      <c r="M1449" s="45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  <c r="AC1449" s="26"/>
      <c r="AD1449" s="26"/>
      <c r="AE1449" s="26"/>
      <c r="AF1449" s="26"/>
      <c r="AG1449" s="26"/>
      <c r="AH1449" s="26"/>
      <c r="AI1449" s="26"/>
      <c r="AJ1449" s="26"/>
      <c r="AK1449" s="2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46"/>
      <c r="BM1449" s="46"/>
      <c r="BN1449" s="46"/>
      <c r="BO1449" s="46"/>
    </row>
    <row r="1450">
      <c r="A1450" s="16" t="str">
        <f t="shared" si="14"/>
        <v/>
      </c>
      <c r="B1450" s="16" t="str">
        <f t="shared" si="15"/>
        <v/>
      </c>
      <c r="C1450" s="35" t="str">
        <f t="shared" si="16"/>
        <v/>
      </c>
      <c r="D1450" s="35" t="str">
        <f t="shared" si="17"/>
        <v/>
      </c>
      <c r="E1450" s="35" t="str">
        <f t="shared" si="18"/>
        <v/>
      </c>
      <c r="F1450" s="35" t="str">
        <f t="shared" si="19"/>
        <v/>
      </c>
      <c r="G1450" s="35" t="str">
        <f t="shared" si="20"/>
        <v/>
      </c>
      <c r="H1450" s="49"/>
      <c r="I1450" s="47" t="str">
        <f t="shared" si="21"/>
        <v/>
      </c>
      <c r="J1450" s="50"/>
      <c r="K1450" s="45" t="b">
        <v>0</v>
      </c>
      <c r="L1450" s="45"/>
      <c r="M1450" s="45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  <c r="AD1450" s="26"/>
      <c r="AE1450" s="26"/>
      <c r="AF1450" s="26"/>
      <c r="AG1450" s="26"/>
      <c r="AH1450" s="26"/>
      <c r="AI1450" s="26"/>
      <c r="AJ1450" s="26"/>
      <c r="AK1450" s="2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46"/>
      <c r="BM1450" s="46"/>
      <c r="BN1450" s="46"/>
      <c r="BO1450" s="46"/>
    </row>
    <row r="1451">
      <c r="A1451" s="16" t="str">
        <f t="shared" si="14"/>
        <v/>
      </c>
      <c r="B1451" s="16" t="str">
        <f t="shared" si="15"/>
        <v/>
      </c>
      <c r="C1451" s="35" t="str">
        <f t="shared" si="16"/>
        <v/>
      </c>
      <c r="D1451" s="35" t="str">
        <f t="shared" si="17"/>
        <v/>
      </c>
      <c r="E1451" s="35" t="str">
        <f t="shared" si="18"/>
        <v/>
      </c>
      <c r="F1451" s="35" t="str">
        <f t="shared" si="19"/>
        <v/>
      </c>
      <c r="G1451" s="35" t="str">
        <f t="shared" si="20"/>
        <v/>
      </c>
      <c r="H1451" s="49"/>
      <c r="I1451" s="47" t="str">
        <f t="shared" si="21"/>
        <v/>
      </c>
      <c r="J1451" s="50"/>
      <c r="K1451" s="45" t="b">
        <v>0</v>
      </c>
      <c r="L1451" s="45"/>
      <c r="M1451" s="45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  <c r="AC1451" s="26"/>
      <c r="AD1451" s="26"/>
      <c r="AE1451" s="26"/>
      <c r="AF1451" s="26"/>
      <c r="AG1451" s="26"/>
      <c r="AH1451" s="26"/>
      <c r="AI1451" s="26"/>
      <c r="AJ1451" s="26"/>
      <c r="AK1451" s="2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46"/>
      <c r="BM1451" s="46"/>
      <c r="BN1451" s="46"/>
      <c r="BO1451" s="46"/>
    </row>
    <row r="1452">
      <c r="A1452" s="16" t="str">
        <f t="shared" si="14"/>
        <v/>
      </c>
      <c r="B1452" s="16" t="str">
        <f t="shared" si="15"/>
        <v/>
      </c>
      <c r="C1452" s="35" t="str">
        <f t="shared" si="16"/>
        <v/>
      </c>
      <c r="D1452" s="35" t="str">
        <f t="shared" si="17"/>
        <v/>
      </c>
      <c r="E1452" s="35" t="str">
        <f t="shared" si="18"/>
        <v/>
      </c>
      <c r="F1452" s="35" t="str">
        <f t="shared" si="19"/>
        <v/>
      </c>
      <c r="G1452" s="35" t="str">
        <f t="shared" si="20"/>
        <v/>
      </c>
      <c r="H1452" s="49"/>
      <c r="I1452" s="47" t="str">
        <f t="shared" si="21"/>
        <v/>
      </c>
      <c r="J1452" s="50"/>
      <c r="K1452" s="45" t="b">
        <v>0</v>
      </c>
      <c r="L1452" s="45"/>
      <c r="M1452" s="45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  <c r="AC1452" s="26"/>
      <c r="AD1452" s="26"/>
      <c r="AE1452" s="26"/>
      <c r="AF1452" s="26"/>
      <c r="AG1452" s="26"/>
      <c r="AH1452" s="26"/>
      <c r="AI1452" s="26"/>
      <c r="AJ1452" s="26"/>
      <c r="AK1452" s="2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46"/>
      <c r="BM1452" s="46"/>
      <c r="BN1452" s="46"/>
      <c r="BO1452" s="46"/>
    </row>
    <row r="1453">
      <c r="A1453" s="16" t="str">
        <f t="shared" si="14"/>
        <v/>
      </c>
      <c r="B1453" s="16" t="str">
        <f t="shared" si="15"/>
        <v/>
      </c>
      <c r="C1453" s="35" t="str">
        <f t="shared" si="16"/>
        <v/>
      </c>
      <c r="D1453" s="35" t="str">
        <f t="shared" si="17"/>
        <v/>
      </c>
      <c r="E1453" s="35" t="str">
        <f t="shared" si="18"/>
        <v/>
      </c>
      <c r="F1453" s="35" t="str">
        <f t="shared" si="19"/>
        <v/>
      </c>
      <c r="G1453" s="35" t="str">
        <f t="shared" si="20"/>
        <v/>
      </c>
      <c r="H1453" s="49"/>
      <c r="I1453" s="47" t="str">
        <f t="shared" si="21"/>
        <v/>
      </c>
      <c r="J1453" s="50"/>
      <c r="K1453" s="45" t="b">
        <v>0</v>
      </c>
      <c r="L1453" s="45"/>
      <c r="M1453" s="45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  <c r="AC1453" s="26"/>
      <c r="AD1453" s="26"/>
      <c r="AE1453" s="26"/>
      <c r="AF1453" s="26"/>
      <c r="AG1453" s="26"/>
      <c r="AH1453" s="26"/>
      <c r="AI1453" s="26"/>
      <c r="AJ1453" s="26"/>
      <c r="AK1453" s="2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46"/>
      <c r="BM1453" s="46"/>
      <c r="BN1453" s="46"/>
      <c r="BO1453" s="46"/>
    </row>
    <row r="1454">
      <c r="A1454" s="16" t="str">
        <f t="shared" si="14"/>
        <v/>
      </c>
      <c r="B1454" s="16" t="str">
        <f t="shared" si="15"/>
        <v/>
      </c>
      <c r="C1454" s="35" t="str">
        <f t="shared" si="16"/>
        <v/>
      </c>
      <c r="D1454" s="35" t="str">
        <f t="shared" si="17"/>
        <v/>
      </c>
      <c r="E1454" s="35" t="str">
        <f t="shared" si="18"/>
        <v/>
      </c>
      <c r="F1454" s="35" t="str">
        <f t="shared" si="19"/>
        <v/>
      </c>
      <c r="G1454" s="35" t="str">
        <f t="shared" si="20"/>
        <v/>
      </c>
      <c r="H1454" s="49"/>
      <c r="I1454" s="47" t="str">
        <f t="shared" si="21"/>
        <v/>
      </c>
      <c r="J1454" s="50"/>
      <c r="K1454" s="45" t="b">
        <v>0</v>
      </c>
      <c r="L1454" s="45"/>
      <c r="M1454" s="45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  <c r="AC1454" s="26"/>
      <c r="AD1454" s="26"/>
      <c r="AE1454" s="26"/>
      <c r="AF1454" s="26"/>
      <c r="AG1454" s="26"/>
      <c r="AH1454" s="26"/>
      <c r="AI1454" s="26"/>
      <c r="AJ1454" s="26"/>
      <c r="AK1454" s="2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46"/>
      <c r="BM1454" s="46"/>
      <c r="BN1454" s="46"/>
      <c r="BO1454" s="46"/>
    </row>
    <row r="1455">
      <c r="A1455" s="16" t="str">
        <f t="shared" si="14"/>
        <v/>
      </c>
      <c r="B1455" s="16" t="str">
        <f t="shared" si="15"/>
        <v/>
      </c>
      <c r="C1455" s="35" t="str">
        <f t="shared" si="16"/>
        <v/>
      </c>
      <c r="D1455" s="35" t="str">
        <f t="shared" si="17"/>
        <v/>
      </c>
      <c r="E1455" s="35" t="str">
        <f t="shared" si="18"/>
        <v/>
      </c>
      <c r="F1455" s="35" t="str">
        <f t="shared" si="19"/>
        <v/>
      </c>
      <c r="G1455" s="35" t="str">
        <f t="shared" si="20"/>
        <v/>
      </c>
      <c r="H1455" s="49"/>
      <c r="I1455" s="47" t="str">
        <f t="shared" si="21"/>
        <v/>
      </c>
      <c r="J1455" s="50"/>
      <c r="K1455" s="45" t="b">
        <v>0</v>
      </c>
      <c r="L1455" s="45"/>
      <c r="M1455" s="45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  <c r="AB1455" s="26"/>
      <c r="AC1455" s="26"/>
      <c r="AD1455" s="26"/>
      <c r="AE1455" s="26"/>
      <c r="AF1455" s="26"/>
      <c r="AG1455" s="26"/>
      <c r="AH1455" s="26"/>
      <c r="AI1455" s="26"/>
      <c r="AJ1455" s="26"/>
      <c r="AK1455" s="2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46"/>
      <c r="BM1455" s="46"/>
      <c r="BN1455" s="46"/>
      <c r="BO1455" s="46"/>
    </row>
    <row r="1456">
      <c r="A1456" s="16" t="str">
        <f t="shared" si="14"/>
        <v/>
      </c>
      <c r="B1456" s="16" t="str">
        <f t="shared" si="15"/>
        <v/>
      </c>
      <c r="C1456" s="35" t="str">
        <f t="shared" si="16"/>
        <v/>
      </c>
      <c r="D1456" s="35" t="str">
        <f t="shared" si="17"/>
        <v/>
      </c>
      <c r="E1456" s="35" t="str">
        <f t="shared" si="18"/>
        <v/>
      </c>
      <c r="F1456" s="35" t="str">
        <f t="shared" si="19"/>
        <v/>
      </c>
      <c r="G1456" s="35" t="str">
        <f t="shared" si="20"/>
        <v/>
      </c>
      <c r="H1456" s="49"/>
      <c r="I1456" s="47" t="str">
        <f t="shared" si="21"/>
        <v/>
      </c>
      <c r="J1456" s="50"/>
      <c r="K1456" s="45" t="b">
        <v>0</v>
      </c>
      <c r="L1456" s="45"/>
      <c r="M1456" s="45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  <c r="AB1456" s="26"/>
      <c r="AC1456" s="26"/>
      <c r="AD1456" s="26"/>
      <c r="AE1456" s="26"/>
      <c r="AF1456" s="26"/>
      <c r="AG1456" s="26"/>
      <c r="AH1456" s="26"/>
      <c r="AI1456" s="26"/>
      <c r="AJ1456" s="26"/>
      <c r="AK1456" s="2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46"/>
      <c r="BM1456" s="46"/>
      <c r="BN1456" s="46"/>
      <c r="BO1456" s="46"/>
    </row>
    <row r="1457">
      <c r="A1457" s="16" t="str">
        <f t="shared" si="14"/>
        <v/>
      </c>
      <c r="B1457" s="16" t="str">
        <f t="shared" si="15"/>
        <v/>
      </c>
      <c r="C1457" s="35" t="str">
        <f t="shared" si="16"/>
        <v/>
      </c>
      <c r="D1457" s="35" t="str">
        <f t="shared" si="17"/>
        <v/>
      </c>
      <c r="E1457" s="35" t="str">
        <f t="shared" si="18"/>
        <v/>
      </c>
      <c r="F1457" s="35" t="str">
        <f t="shared" si="19"/>
        <v/>
      </c>
      <c r="G1457" s="35" t="str">
        <f t="shared" si="20"/>
        <v/>
      </c>
      <c r="H1457" s="49"/>
      <c r="I1457" s="47" t="str">
        <f t="shared" si="21"/>
        <v/>
      </c>
      <c r="J1457" s="50"/>
      <c r="K1457" s="45" t="b">
        <v>0</v>
      </c>
      <c r="L1457" s="45"/>
      <c r="M1457" s="45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  <c r="AB1457" s="26"/>
      <c r="AC1457" s="26"/>
      <c r="AD1457" s="26"/>
      <c r="AE1457" s="26"/>
      <c r="AF1457" s="26"/>
      <c r="AG1457" s="26"/>
      <c r="AH1457" s="26"/>
      <c r="AI1457" s="26"/>
      <c r="AJ1457" s="26"/>
      <c r="AK1457" s="2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46"/>
      <c r="BM1457" s="46"/>
      <c r="BN1457" s="46"/>
      <c r="BO1457" s="46"/>
    </row>
    <row r="1458">
      <c r="A1458" s="16" t="str">
        <f t="shared" si="14"/>
        <v/>
      </c>
      <c r="B1458" s="16" t="str">
        <f t="shared" si="15"/>
        <v/>
      </c>
      <c r="C1458" s="35" t="str">
        <f t="shared" si="16"/>
        <v/>
      </c>
      <c r="D1458" s="35" t="str">
        <f t="shared" si="17"/>
        <v/>
      </c>
      <c r="E1458" s="35" t="str">
        <f t="shared" si="18"/>
        <v/>
      </c>
      <c r="F1458" s="35" t="str">
        <f t="shared" si="19"/>
        <v/>
      </c>
      <c r="G1458" s="35" t="str">
        <f t="shared" si="20"/>
        <v/>
      </c>
      <c r="H1458" s="49"/>
      <c r="I1458" s="47" t="str">
        <f t="shared" si="21"/>
        <v/>
      </c>
      <c r="J1458" s="50"/>
      <c r="K1458" s="45" t="b">
        <v>0</v>
      </c>
      <c r="L1458" s="45"/>
      <c r="M1458" s="45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  <c r="AB1458" s="26"/>
      <c r="AC1458" s="26"/>
      <c r="AD1458" s="26"/>
      <c r="AE1458" s="26"/>
      <c r="AF1458" s="26"/>
      <c r="AG1458" s="26"/>
      <c r="AH1458" s="26"/>
      <c r="AI1458" s="26"/>
      <c r="AJ1458" s="26"/>
      <c r="AK1458" s="2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46"/>
      <c r="BM1458" s="46"/>
      <c r="BN1458" s="46"/>
      <c r="BO1458" s="46"/>
    </row>
    <row r="1459">
      <c r="A1459" s="16" t="str">
        <f t="shared" si="14"/>
        <v/>
      </c>
      <c r="B1459" s="16" t="str">
        <f t="shared" si="15"/>
        <v/>
      </c>
      <c r="C1459" s="35" t="str">
        <f t="shared" si="16"/>
        <v/>
      </c>
      <c r="D1459" s="35" t="str">
        <f t="shared" si="17"/>
        <v/>
      </c>
      <c r="E1459" s="35" t="str">
        <f t="shared" si="18"/>
        <v/>
      </c>
      <c r="F1459" s="35" t="str">
        <f t="shared" si="19"/>
        <v/>
      </c>
      <c r="G1459" s="35" t="str">
        <f t="shared" si="20"/>
        <v/>
      </c>
      <c r="H1459" s="49"/>
      <c r="I1459" s="47" t="str">
        <f t="shared" si="21"/>
        <v/>
      </c>
      <c r="J1459" s="50"/>
      <c r="K1459" s="45" t="b">
        <v>0</v>
      </c>
      <c r="L1459" s="45"/>
      <c r="M1459" s="45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  <c r="AB1459" s="26"/>
      <c r="AC1459" s="26"/>
      <c r="AD1459" s="26"/>
      <c r="AE1459" s="26"/>
      <c r="AF1459" s="26"/>
      <c r="AG1459" s="26"/>
      <c r="AH1459" s="26"/>
      <c r="AI1459" s="26"/>
      <c r="AJ1459" s="26"/>
      <c r="AK1459" s="2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46"/>
      <c r="BM1459" s="46"/>
      <c r="BN1459" s="46"/>
      <c r="BO1459" s="46"/>
    </row>
    <row r="1460">
      <c r="A1460" s="16" t="str">
        <f t="shared" si="14"/>
        <v/>
      </c>
      <c r="B1460" s="16" t="str">
        <f t="shared" si="15"/>
        <v/>
      </c>
      <c r="C1460" s="35" t="str">
        <f t="shared" si="16"/>
        <v/>
      </c>
      <c r="D1460" s="35" t="str">
        <f t="shared" si="17"/>
        <v/>
      </c>
      <c r="E1460" s="35" t="str">
        <f t="shared" si="18"/>
        <v/>
      </c>
      <c r="F1460" s="35" t="str">
        <f t="shared" si="19"/>
        <v/>
      </c>
      <c r="G1460" s="35" t="str">
        <f t="shared" si="20"/>
        <v/>
      </c>
      <c r="H1460" s="49"/>
      <c r="I1460" s="47" t="str">
        <f t="shared" si="21"/>
        <v/>
      </c>
      <c r="J1460" s="50"/>
      <c r="K1460" s="45" t="b">
        <v>0</v>
      </c>
      <c r="L1460" s="45"/>
      <c r="M1460" s="45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  <c r="AB1460" s="26"/>
      <c r="AC1460" s="26"/>
      <c r="AD1460" s="26"/>
      <c r="AE1460" s="26"/>
      <c r="AF1460" s="26"/>
      <c r="AG1460" s="26"/>
      <c r="AH1460" s="26"/>
      <c r="AI1460" s="26"/>
      <c r="AJ1460" s="26"/>
      <c r="AK1460" s="2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46"/>
      <c r="BM1460" s="46"/>
      <c r="BN1460" s="46"/>
      <c r="BO1460" s="46"/>
    </row>
    <row r="1461">
      <c r="A1461" s="16" t="str">
        <f t="shared" si="14"/>
        <v/>
      </c>
      <c r="B1461" s="16" t="str">
        <f t="shared" si="15"/>
        <v/>
      </c>
      <c r="C1461" s="35" t="str">
        <f t="shared" si="16"/>
        <v/>
      </c>
      <c r="D1461" s="35" t="str">
        <f t="shared" si="17"/>
        <v/>
      </c>
      <c r="E1461" s="35" t="str">
        <f t="shared" si="18"/>
        <v/>
      </c>
      <c r="F1461" s="35" t="str">
        <f t="shared" si="19"/>
        <v/>
      </c>
      <c r="G1461" s="35" t="str">
        <f t="shared" si="20"/>
        <v/>
      </c>
      <c r="H1461" s="49"/>
      <c r="I1461" s="47" t="str">
        <f t="shared" si="21"/>
        <v/>
      </c>
      <c r="J1461" s="50"/>
      <c r="K1461" s="45" t="b">
        <v>0</v>
      </c>
      <c r="L1461" s="45"/>
      <c r="M1461" s="45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  <c r="AB1461" s="26"/>
      <c r="AC1461" s="26"/>
      <c r="AD1461" s="26"/>
      <c r="AE1461" s="26"/>
      <c r="AF1461" s="26"/>
      <c r="AG1461" s="26"/>
      <c r="AH1461" s="26"/>
      <c r="AI1461" s="26"/>
      <c r="AJ1461" s="26"/>
      <c r="AK1461" s="2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  <c r="BI1461" s="46"/>
      <c r="BJ1461" s="46"/>
      <c r="BK1461" s="46"/>
      <c r="BL1461" s="46"/>
      <c r="BM1461" s="46"/>
      <c r="BN1461" s="46"/>
      <c r="BO1461" s="46"/>
    </row>
    <row r="1462">
      <c r="A1462" s="16" t="str">
        <f t="shared" si="14"/>
        <v/>
      </c>
      <c r="B1462" s="16" t="str">
        <f t="shared" si="15"/>
        <v/>
      </c>
      <c r="C1462" s="35" t="str">
        <f t="shared" si="16"/>
        <v/>
      </c>
      <c r="D1462" s="35" t="str">
        <f t="shared" si="17"/>
        <v/>
      </c>
      <c r="E1462" s="35" t="str">
        <f t="shared" si="18"/>
        <v/>
      </c>
      <c r="F1462" s="35" t="str">
        <f t="shared" si="19"/>
        <v/>
      </c>
      <c r="G1462" s="35" t="str">
        <f t="shared" si="20"/>
        <v/>
      </c>
      <c r="H1462" s="49"/>
      <c r="I1462" s="47" t="str">
        <f t="shared" si="21"/>
        <v/>
      </c>
      <c r="J1462" s="50"/>
      <c r="K1462" s="45" t="b">
        <v>0</v>
      </c>
      <c r="L1462" s="45"/>
      <c r="M1462" s="45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  <c r="AB1462" s="26"/>
      <c r="AC1462" s="26"/>
      <c r="AD1462" s="26"/>
      <c r="AE1462" s="26"/>
      <c r="AF1462" s="26"/>
      <c r="AG1462" s="26"/>
      <c r="AH1462" s="26"/>
      <c r="AI1462" s="26"/>
      <c r="AJ1462" s="26"/>
      <c r="AK1462" s="2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/>
    </row>
    <row r="1463">
      <c r="A1463" s="16" t="str">
        <f t="shared" si="14"/>
        <v/>
      </c>
      <c r="B1463" s="16" t="str">
        <f t="shared" si="15"/>
        <v/>
      </c>
      <c r="C1463" s="35" t="str">
        <f t="shared" si="16"/>
        <v/>
      </c>
      <c r="D1463" s="35" t="str">
        <f t="shared" si="17"/>
        <v/>
      </c>
      <c r="E1463" s="35" t="str">
        <f t="shared" si="18"/>
        <v/>
      </c>
      <c r="F1463" s="35" t="str">
        <f t="shared" si="19"/>
        <v/>
      </c>
      <c r="G1463" s="35" t="str">
        <f t="shared" si="20"/>
        <v/>
      </c>
      <c r="H1463" s="49"/>
      <c r="I1463" s="47" t="str">
        <f t="shared" si="21"/>
        <v/>
      </c>
      <c r="J1463" s="50"/>
      <c r="K1463" s="45" t="b">
        <v>0</v>
      </c>
      <c r="L1463" s="45"/>
      <c r="M1463" s="45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  <c r="AB1463" s="26"/>
      <c r="AC1463" s="26"/>
      <c r="AD1463" s="26"/>
      <c r="AE1463" s="26"/>
      <c r="AF1463" s="26"/>
      <c r="AG1463" s="26"/>
      <c r="AH1463" s="26"/>
      <c r="AI1463" s="26"/>
      <c r="AJ1463" s="26"/>
      <c r="AK1463" s="2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46"/>
      <c r="BM1463" s="46"/>
      <c r="BN1463" s="46"/>
      <c r="BO1463" s="46"/>
    </row>
    <row r="1464">
      <c r="A1464" s="16" t="str">
        <f t="shared" si="14"/>
        <v/>
      </c>
      <c r="B1464" s="16" t="str">
        <f t="shared" si="15"/>
        <v/>
      </c>
      <c r="C1464" s="35" t="str">
        <f t="shared" si="16"/>
        <v/>
      </c>
      <c r="D1464" s="35" t="str">
        <f t="shared" si="17"/>
        <v/>
      </c>
      <c r="E1464" s="35" t="str">
        <f t="shared" si="18"/>
        <v/>
      </c>
      <c r="F1464" s="35" t="str">
        <f t="shared" si="19"/>
        <v/>
      </c>
      <c r="G1464" s="35" t="str">
        <f t="shared" si="20"/>
        <v/>
      </c>
      <c r="H1464" s="49"/>
      <c r="I1464" s="47" t="str">
        <f t="shared" si="21"/>
        <v/>
      </c>
      <c r="J1464" s="50"/>
      <c r="K1464" s="45" t="b">
        <v>0</v>
      </c>
      <c r="L1464" s="45"/>
      <c r="M1464" s="45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  <c r="AC1464" s="26"/>
      <c r="AD1464" s="26"/>
      <c r="AE1464" s="26"/>
      <c r="AF1464" s="26"/>
      <c r="AG1464" s="26"/>
      <c r="AH1464" s="26"/>
      <c r="AI1464" s="26"/>
      <c r="AJ1464" s="26"/>
      <c r="AK1464" s="2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46"/>
      <c r="BM1464" s="46"/>
      <c r="BN1464" s="46"/>
      <c r="BO1464" s="46"/>
    </row>
    <row r="1465">
      <c r="A1465" s="16" t="str">
        <f t="shared" si="14"/>
        <v/>
      </c>
      <c r="B1465" s="16" t="str">
        <f t="shared" si="15"/>
        <v/>
      </c>
      <c r="C1465" s="35" t="str">
        <f t="shared" si="16"/>
        <v/>
      </c>
      <c r="D1465" s="35" t="str">
        <f t="shared" si="17"/>
        <v/>
      </c>
      <c r="E1465" s="35" t="str">
        <f t="shared" si="18"/>
        <v/>
      </c>
      <c r="F1465" s="35" t="str">
        <f t="shared" si="19"/>
        <v/>
      </c>
      <c r="G1465" s="35" t="str">
        <f t="shared" si="20"/>
        <v/>
      </c>
      <c r="H1465" s="49"/>
      <c r="I1465" s="47" t="str">
        <f t="shared" si="21"/>
        <v/>
      </c>
      <c r="J1465" s="50"/>
      <c r="K1465" s="45" t="b">
        <v>0</v>
      </c>
      <c r="L1465" s="45"/>
      <c r="M1465" s="45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  <c r="AB1465" s="26"/>
      <c r="AC1465" s="26"/>
      <c r="AD1465" s="26"/>
      <c r="AE1465" s="26"/>
      <c r="AF1465" s="26"/>
      <c r="AG1465" s="26"/>
      <c r="AH1465" s="26"/>
      <c r="AI1465" s="26"/>
      <c r="AJ1465" s="26"/>
      <c r="AK1465" s="2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46"/>
      <c r="BM1465" s="46"/>
      <c r="BN1465" s="46"/>
      <c r="BO1465" s="46"/>
    </row>
    <row r="1466">
      <c r="A1466" s="16" t="str">
        <f t="shared" si="14"/>
        <v/>
      </c>
      <c r="B1466" s="16" t="str">
        <f t="shared" si="15"/>
        <v/>
      </c>
      <c r="C1466" s="35" t="str">
        <f t="shared" si="16"/>
        <v/>
      </c>
      <c r="D1466" s="35" t="str">
        <f t="shared" si="17"/>
        <v/>
      </c>
      <c r="E1466" s="35" t="str">
        <f t="shared" si="18"/>
        <v/>
      </c>
      <c r="F1466" s="35" t="str">
        <f t="shared" si="19"/>
        <v/>
      </c>
      <c r="G1466" s="35" t="str">
        <f t="shared" si="20"/>
        <v/>
      </c>
      <c r="H1466" s="49"/>
      <c r="I1466" s="47" t="str">
        <f t="shared" si="21"/>
        <v/>
      </c>
      <c r="J1466" s="50"/>
      <c r="K1466" s="45" t="b">
        <v>0</v>
      </c>
      <c r="L1466" s="45"/>
      <c r="M1466" s="45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  <c r="AB1466" s="26"/>
      <c r="AC1466" s="26"/>
      <c r="AD1466" s="26"/>
      <c r="AE1466" s="26"/>
      <c r="AF1466" s="26"/>
      <c r="AG1466" s="26"/>
      <c r="AH1466" s="26"/>
      <c r="AI1466" s="26"/>
      <c r="AJ1466" s="26"/>
      <c r="AK1466" s="2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/>
    </row>
    <row r="1467">
      <c r="A1467" s="16" t="str">
        <f t="shared" si="14"/>
        <v/>
      </c>
      <c r="B1467" s="16" t="str">
        <f t="shared" si="15"/>
        <v/>
      </c>
      <c r="C1467" s="35" t="str">
        <f t="shared" si="16"/>
        <v/>
      </c>
      <c r="D1467" s="35" t="str">
        <f t="shared" si="17"/>
        <v/>
      </c>
      <c r="E1467" s="35" t="str">
        <f t="shared" si="18"/>
        <v/>
      </c>
      <c r="F1467" s="35" t="str">
        <f t="shared" si="19"/>
        <v/>
      </c>
      <c r="G1467" s="35" t="str">
        <f t="shared" si="20"/>
        <v/>
      </c>
      <c r="H1467" s="49"/>
      <c r="I1467" s="47" t="str">
        <f t="shared" si="21"/>
        <v/>
      </c>
      <c r="J1467" s="50"/>
      <c r="K1467" s="45" t="b">
        <v>0</v>
      </c>
      <c r="L1467" s="45"/>
      <c r="M1467" s="45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  <c r="AB1467" s="26"/>
      <c r="AC1467" s="26"/>
      <c r="AD1467" s="26"/>
      <c r="AE1467" s="26"/>
      <c r="AF1467" s="26"/>
      <c r="AG1467" s="26"/>
      <c r="AH1467" s="26"/>
      <c r="AI1467" s="26"/>
      <c r="AJ1467" s="26"/>
      <c r="AK1467" s="2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46"/>
      <c r="BM1467" s="46"/>
      <c r="BN1467" s="46"/>
      <c r="BO1467" s="46"/>
    </row>
    <row r="1468">
      <c r="A1468" s="16" t="str">
        <f t="shared" si="14"/>
        <v/>
      </c>
      <c r="B1468" s="16" t="str">
        <f t="shared" si="15"/>
        <v/>
      </c>
      <c r="C1468" s="35" t="str">
        <f t="shared" si="16"/>
        <v/>
      </c>
      <c r="D1468" s="35" t="str">
        <f t="shared" si="17"/>
        <v/>
      </c>
      <c r="E1468" s="35" t="str">
        <f t="shared" si="18"/>
        <v/>
      </c>
      <c r="F1468" s="35" t="str">
        <f t="shared" si="19"/>
        <v/>
      </c>
      <c r="G1468" s="35" t="str">
        <f t="shared" si="20"/>
        <v/>
      </c>
      <c r="H1468" s="49"/>
      <c r="I1468" s="47" t="str">
        <f t="shared" si="21"/>
        <v/>
      </c>
      <c r="J1468" s="50"/>
      <c r="K1468" s="45" t="b">
        <v>0</v>
      </c>
      <c r="L1468" s="45"/>
      <c r="M1468" s="45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  <c r="AB1468" s="26"/>
      <c r="AC1468" s="26"/>
      <c r="AD1468" s="26"/>
      <c r="AE1468" s="26"/>
      <c r="AF1468" s="26"/>
      <c r="AG1468" s="26"/>
      <c r="AH1468" s="26"/>
      <c r="AI1468" s="26"/>
      <c r="AJ1468" s="26"/>
      <c r="AK1468" s="2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46"/>
      <c r="BM1468" s="46"/>
      <c r="BN1468" s="46"/>
      <c r="BO1468" s="46"/>
    </row>
    <row r="1469">
      <c r="A1469" s="16" t="str">
        <f t="shared" si="14"/>
        <v/>
      </c>
      <c r="B1469" s="16" t="str">
        <f t="shared" si="15"/>
        <v/>
      </c>
      <c r="C1469" s="35" t="str">
        <f t="shared" si="16"/>
        <v/>
      </c>
      <c r="D1469" s="35" t="str">
        <f t="shared" si="17"/>
        <v/>
      </c>
      <c r="E1469" s="35" t="str">
        <f t="shared" si="18"/>
        <v/>
      </c>
      <c r="F1469" s="35" t="str">
        <f t="shared" si="19"/>
        <v/>
      </c>
      <c r="G1469" s="35" t="str">
        <f t="shared" si="20"/>
        <v/>
      </c>
      <c r="H1469" s="49"/>
      <c r="I1469" s="47" t="str">
        <f t="shared" si="21"/>
        <v/>
      </c>
      <c r="J1469" s="50"/>
      <c r="K1469" s="45" t="b">
        <v>0</v>
      </c>
      <c r="L1469" s="45"/>
      <c r="M1469" s="45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  <c r="AC1469" s="26"/>
      <c r="AD1469" s="26"/>
      <c r="AE1469" s="26"/>
      <c r="AF1469" s="26"/>
      <c r="AG1469" s="26"/>
      <c r="AH1469" s="26"/>
      <c r="AI1469" s="26"/>
      <c r="AJ1469" s="26"/>
      <c r="AK1469" s="2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46"/>
      <c r="BM1469" s="46"/>
      <c r="BN1469" s="46"/>
      <c r="BO1469" s="46"/>
    </row>
    <row r="1470">
      <c r="A1470" s="16" t="str">
        <f t="shared" si="14"/>
        <v/>
      </c>
      <c r="B1470" s="16" t="str">
        <f t="shared" si="15"/>
        <v/>
      </c>
      <c r="C1470" s="35" t="str">
        <f t="shared" si="16"/>
        <v/>
      </c>
      <c r="D1470" s="35" t="str">
        <f t="shared" si="17"/>
        <v/>
      </c>
      <c r="E1470" s="35" t="str">
        <f t="shared" si="18"/>
        <v/>
      </c>
      <c r="F1470" s="35" t="str">
        <f t="shared" si="19"/>
        <v/>
      </c>
      <c r="G1470" s="35" t="str">
        <f t="shared" si="20"/>
        <v/>
      </c>
      <c r="H1470" s="49"/>
      <c r="I1470" s="47" t="str">
        <f t="shared" si="21"/>
        <v/>
      </c>
      <c r="J1470" s="50"/>
      <c r="K1470" s="45" t="b">
        <v>0</v>
      </c>
      <c r="L1470" s="45"/>
      <c r="M1470" s="45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  <c r="AB1470" s="26"/>
      <c r="AC1470" s="26"/>
      <c r="AD1470" s="26"/>
      <c r="AE1470" s="26"/>
      <c r="AF1470" s="26"/>
      <c r="AG1470" s="26"/>
      <c r="AH1470" s="26"/>
      <c r="AI1470" s="26"/>
      <c r="AJ1470" s="26"/>
      <c r="AK1470" s="2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46"/>
      <c r="BM1470" s="46"/>
      <c r="BN1470" s="46"/>
      <c r="BO1470" s="46"/>
    </row>
    <row r="1471">
      <c r="A1471" s="16" t="str">
        <f t="shared" si="14"/>
        <v/>
      </c>
      <c r="B1471" s="16" t="str">
        <f t="shared" si="15"/>
        <v/>
      </c>
      <c r="C1471" s="35" t="str">
        <f t="shared" si="16"/>
        <v/>
      </c>
      <c r="D1471" s="35" t="str">
        <f t="shared" si="17"/>
        <v/>
      </c>
      <c r="E1471" s="35" t="str">
        <f t="shared" si="18"/>
        <v/>
      </c>
      <c r="F1471" s="35" t="str">
        <f t="shared" si="19"/>
        <v/>
      </c>
      <c r="G1471" s="35" t="str">
        <f t="shared" si="20"/>
        <v/>
      </c>
      <c r="H1471" s="49"/>
      <c r="I1471" s="47" t="str">
        <f t="shared" si="21"/>
        <v/>
      </c>
      <c r="J1471" s="50"/>
      <c r="K1471" s="45" t="b">
        <v>0</v>
      </c>
      <c r="L1471" s="45"/>
      <c r="M1471" s="45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  <c r="AB1471" s="26"/>
      <c r="AC1471" s="26"/>
      <c r="AD1471" s="26"/>
      <c r="AE1471" s="26"/>
      <c r="AF1471" s="26"/>
      <c r="AG1471" s="26"/>
      <c r="AH1471" s="26"/>
      <c r="AI1471" s="26"/>
      <c r="AJ1471" s="26"/>
      <c r="AK1471" s="2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46"/>
      <c r="BM1471" s="46"/>
      <c r="BN1471" s="46"/>
      <c r="BO1471" s="46"/>
    </row>
    <row r="1472">
      <c r="A1472" s="16" t="str">
        <f t="shared" si="14"/>
        <v/>
      </c>
      <c r="B1472" s="16" t="str">
        <f t="shared" si="15"/>
        <v/>
      </c>
      <c r="C1472" s="35" t="str">
        <f t="shared" si="16"/>
        <v/>
      </c>
      <c r="D1472" s="35" t="str">
        <f t="shared" si="17"/>
        <v/>
      </c>
      <c r="E1472" s="35" t="str">
        <f t="shared" si="18"/>
        <v/>
      </c>
      <c r="F1472" s="35" t="str">
        <f t="shared" si="19"/>
        <v/>
      </c>
      <c r="G1472" s="35" t="str">
        <f t="shared" si="20"/>
        <v/>
      </c>
      <c r="H1472" s="49"/>
      <c r="I1472" s="47" t="str">
        <f t="shared" si="21"/>
        <v/>
      </c>
      <c r="J1472" s="50"/>
      <c r="K1472" s="45" t="b">
        <v>0</v>
      </c>
      <c r="L1472" s="45"/>
      <c r="M1472" s="45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  <c r="AB1472" s="26"/>
      <c r="AC1472" s="26"/>
      <c r="AD1472" s="26"/>
      <c r="AE1472" s="26"/>
      <c r="AF1472" s="26"/>
      <c r="AG1472" s="26"/>
      <c r="AH1472" s="26"/>
      <c r="AI1472" s="26"/>
      <c r="AJ1472" s="26"/>
      <c r="AK1472" s="2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46"/>
      <c r="BM1472" s="46"/>
      <c r="BN1472" s="46"/>
      <c r="BO1472" s="46"/>
    </row>
    <row r="1473">
      <c r="A1473" s="16" t="str">
        <f t="shared" si="14"/>
        <v/>
      </c>
      <c r="B1473" s="16" t="str">
        <f t="shared" si="15"/>
        <v/>
      </c>
      <c r="C1473" s="35" t="str">
        <f t="shared" si="16"/>
        <v/>
      </c>
      <c r="D1473" s="35" t="str">
        <f t="shared" si="17"/>
        <v/>
      </c>
      <c r="E1473" s="35" t="str">
        <f t="shared" si="18"/>
        <v/>
      </c>
      <c r="F1473" s="35" t="str">
        <f t="shared" si="19"/>
        <v/>
      </c>
      <c r="G1473" s="35" t="str">
        <f t="shared" si="20"/>
        <v/>
      </c>
      <c r="H1473" s="49"/>
      <c r="I1473" s="47" t="str">
        <f t="shared" si="21"/>
        <v/>
      </c>
      <c r="J1473" s="50"/>
      <c r="K1473" s="45" t="b">
        <v>0</v>
      </c>
      <c r="L1473" s="45"/>
      <c r="M1473" s="45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  <c r="AB1473" s="26"/>
      <c r="AC1473" s="26"/>
      <c r="AD1473" s="26"/>
      <c r="AE1473" s="26"/>
      <c r="AF1473" s="26"/>
      <c r="AG1473" s="26"/>
      <c r="AH1473" s="26"/>
      <c r="AI1473" s="26"/>
      <c r="AJ1473" s="26"/>
      <c r="AK1473" s="2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46"/>
      <c r="BM1473" s="46"/>
      <c r="BN1473" s="46"/>
      <c r="BO1473" s="46"/>
    </row>
    <row r="1474">
      <c r="A1474" s="16" t="str">
        <f t="shared" si="14"/>
        <v/>
      </c>
      <c r="B1474" s="16" t="str">
        <f t="shared" si="15"/>
        <v/>
      </c>
      <c r="C1474" s="35" t="str">
        <f t="shared" si="16"/>
        <v/>
      </c>
      <c r="D1474" s="35" t="str">
        <f t="shared" si="17"/>
        <v/>
      </c>
      <c r="E1474" s="35" t="str">
        <f t="shared" si="18"/>
        <v/>
      </c>
      <c r="F1474" s="35" t="str">
        <f t="shared" si="19"/>
        <v/>
      </c>
      <c r="G1474" s="35" t="str">
        <f t="shared" si="20"/>
        <v/>
      </c>
      <c r="H1474" s="49"/>
      <c r="I1474" s="47" t="str">
        <f t="shared" si="21"/>
        <v/>
      </c>
      <c r="J1474" s="50"/>
      <c r="K1474" s="45" t="b">
        <v>0</v>
      </c>
      <c r="L1474" s="45"/>
      <c r="M1474" s="45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  <c r="AC1474" s="26"/>
      <c r="AD1474" s="26"/>
      <c r="AE1474" s="26"/>
      <c r="AF1474" s="26"/>
      <c r="AG1474" s="26"/>
      <c r="AH1474" s="26"/>
      <c r="AI1474" s="26"/>
      <c r="AJ1474" s="26"/>
      <c r="AK1474" s="2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46"/>
      <c r="BM1474" s="46"/>
      <c r="BN1474" s="46"/>
      <c r="BO1474" s="46"/>
    </row>
    <row r="1475">
      <c r="A1475" s="16" t="str">
        <f t="shared" si="14"/>
        <v/>
      </c>
      <c r="B1475" s="16" t="str">
        <f t="shared" si="15"/>
        <v/>
      </c>
      <c r="C1475" s="35" t="str">
        <f t="shared" si="16"/>
        <v/>
      </c>
      <c r="D1475" s="35" t="str">
        <f t="shared" si="17"/>
        <v/>
      </c>
      <c r="E1475" s="35" t="str">
        <f t="shared" si="18"/>
        <v/>
      </c>
      <c r="F1475" s="35" t="str">
        <f t="shared" si="19"/>
        <v/>
      </c>
      <c r="G1475" s="35" t="str">
        <f t="shared" si="20"/>
        <v/>
      </c>
      <c r="H1475" s="49"/>
      <c r="I1475" s="47" t="str">
        <f t="shared" si="21"/>
        <v/>
      </c>
      <c r="J1475" s="50"/>
      <c r="K1475" s="45" t="b">
        <v>0</v>
      </c>
      <c r="L1475" s="45"/>
      <c r="M1475" s="45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  <c r="AC1475" s="26"/>
      <c r="AD1475" s="26"/>
      <c r="AE1475" s="26"/>
      <c r="AF1475" s="26"/>
      <c r="AG1475" s="26"/>
      <c r="AH1475" s="26"/>
      <c r="AI1475" s="26"/>
      <c r="AJ1475" s="26"/>
      <c r="AK1475" s="2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46"/>
      <c r="BM1475" s="46"/>
      <c r="BN1475" s="46"/>
      <c r="BO1475" s="46"/>
    </row>
    <row r="1476">
      <c r="A1476" s="16" t="str">
        <f t="shared" si="14"/>
        <v/>
      </c>
      <c r="B1476" s="16" t="str">
        <f t="shared" si="15"/>
        <v/>
      </c>
      <c r="C1476" s="35" t="str">
        <f t="shared" si="16"/>
        <v/>
      </c>
      <c r="D1476" s="35" t="str">
        <f t="shared" si="17"/>
        <v/>
      </c>
      <c r="E1476" s="35" t="str">
        <f t="shared" si="18"/>
        <v/>
      </c>
      <c r="F1476" s="35" t="str">
        <f t="shared" si="19"/>
        <v/>
      </c>
      <c r="G1476" s="35" t="str">
        <f t="shared" si="20"/>
        <v/>
      </c>
      <c r="H1476" s="49"/>
      <c r="I1476" s="47" t="str">
        <f t="shared" si="21"/>
        <v/>
      </c>
      <c r="J1476" s="50"/>
      <c r="K1476" s="45" t="b">
        <v>0</v>
      </c>
      <c r="L1476" s="45"/>
      <c r="M1476" s="45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  <c r="AC1476" s="26"/>
      <c r="AD1476" s="26"/>
      <c r="AE1476" s="26"/>
      <c r="AF1476" s="26"/>
      <c r="AG1476" s="26"/>
      <c r="AH1476" s="26"/>
      <c r="AI1476" s="26"/>
      <c r="AJ1476" s="26"/>
      <c r="AK1476" s="2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46"/>
      <c r="BM1476" s="46"/>
      <c r="BN1476" s="46"/>
      <c r="BO1476" s="46"/>
    </row>
    <row r="1477">
      <c r="A1477" s="16" t="str">
        <f t="shared" si="14"/>
        <v/>
      </c>
      <c r="B1477" s="16" t="str">
        <f t="shared" si="15"/>
        <v/>
      </c>
      <c r="C1477" s="35" t="str">
        <f t="shared" si="16"/>
        <v/>
      </c>
      <c r="D1477" s="35" t="str">
        <f t="shared" si="17"/>
        <v/>
      </c>
      <c r="E1477" s="35" t="str">
        <f t="shared" si="18"/>
        <v/>
      </c>
      <c r="F1477" s="35" t="str">
        <f t="shared" si="19"/>
        <v/>
      </c>
      <c r="G1477" s="35" t="str">
        <f t="shared" si="20"/>
        <v/>
      </c>
      <c r="H1477" s="49"/>
      <c r="I1477" s="47" t="str">
        <f t="shared" si="21"/>
        <v/>
      </c>
      <c r="J1477" s="50"/>
      <c r="K1477" s="45" t="b">
        <v>0</v>
      </c>
      <c r="L1477" s="45"/>
      <c r="M1477" s="45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  <c r="AC1477" s="26"/>
      <c r="AD1477" s="26"/>
      <c r="AE1477" s="26"/>
      <c r="AF1477" s="26"/>
      <c r="AG1477" s="26"/>
      <c r="AH1477" s="26"/>
      <c r="AI1477" s="26"/>
      <c r="AJ1477" s="26"/>
      <c r="AK1477" s="2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  <c r="BI1477" s="46"/>
      <c r="BJ1477" s="46"/>
      <c r="BK1477" s="46"/>
      <c r="BL1477" s="46"/>
      <c r="BM1477" s="46"/>
      <c r="BN1477" s="46"/>
      <c r="BO1477" s="46"/>
    </row>
    <row r="1478">
      <c r="A1478" s="16" t="str">
        <f t="shared" si="14"/>
        <v/>
      </c>
      <c r="B1478" s="16" t="str">
        <f t="shared" si="15"/>
        <v/>
      </c>
      <c r="C1478" s="35" t="str">
        <f t="shared" si="16"/>
        <v/>
      </c>
      <c r="D1478" s="35" t="str">
        <f t="shared" si="17"/>
        <v/>
      </c>
      <c r="E1478" s="35" t="str">
        <f t="shared" si="18"/>
        <v/>
      </c>
      <c r="F1478" s="35" t="str">
        <f t="shared" si="19"/>
        <v/>
      </c>
      <c r="G1478" s="35" t="str">
        <f t="shared" si="20"/>
        <v/>
      </c>
      <c r="H1478" s="49"/>
      <c r="I1478" s="47" t="str">
        <f t="shared" si="21"/>
        <v/>
      </c>
      <c r="J1478" s="50"/>
      <c r="K1478" s="45" t="b">
        <v>0</v>
      </c>
      <c r="L1478" s="45"/>
      <c r="M1478" s="45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  <c r="AC1478" s="26"/>
      <c r="AD1478" s="26"/>
      <c r="AE1478" s="26"/>
      <c r="AF1478" s="26"/>
      <c r="AG1478" s="26"/>
      <c r="AH1478" s="26"/>
      <c r="AI1478" s="26"/>
      <c r="AJ1478" s="26"/>
      <c r="AK1478" s="2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  <c r="BI1478" s="46"/>
      <c r="BJ1478" s="46"/>
      <c r="BK1478" s="46"/>
      <c r="BL1478" s="46"/>
      <c r="BM1478" s="46"/>
      <c r="BN1478" s="46"/>
      <c r="BO1478" s="46"/>
    </row>
    <row r="1479">
      <c r="A1479" s="16" t="str">
        <f t="shared" si="14"/>
        <v/>
      </c>
      <c r="B1479" s="16" t="str">
        <f t="shared" si="15"/>
        <v/>
      </c>
      <c r="C1479" s="35" t="str">
        <f t="shared" si="16"/>
        <v/>
      </c>
      <c r="D1479" s="35" t="str">
        <f t="shared" si="17"/>
        <v/>
      </c>
      <c r="E1479" s="35" t="str">
        <f t="shared" si="18"/>
        <v/>
      </c>
      <c r="F1479" s="35" t="str">
        <f t="shared" si="19"/>
        <v/>
      </c>
      <c r="G1479" s="35" t="str">
        <f t="shared" si="20"/>
        <v/>
      </c>
      <c r="H1479" s="49"/>
      <c r="I1479" s="47" t="str">
        <f t="shared" si="21"/>
        <v/>
      </c>
      <c r="J1479" s="50"/>
      <c r="K1479" s="45" t="b">
        <v>0</v>
      </c>
      <c r="L1479" s="45"/>
      <c r="M1479" s="45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  <c r="AC1479" s="26"/>
      <c r="AD1479" s="26"/>
      <c r="AE1479" s="26"/>
      <c r="AF1479" s="26"/>
      <c r="AG1479" s="26"/>
      <c r="AH1479" s="26"/>
      <c r="AI1479" s="26"/>
      <c r="AJ1479" s="26"/>
      <c r="AK1479" s="2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  <c r="BI1479" s="46"/>
      <c r="BJ1479" s="46"/>
      <c r="BK1479" s="46"/>
      <c r="BL1479" s="46"/>
      <c r="BM1479" s="46"/>
      <c r="BN1479" s="46"/>
      <c r="BO1479" s="46"/>
    </row>
    <row r="1480">
      <c r="A1480" s="16" t="str">
        <f t="shared" si="14"/>
        <v/>
      </c>
      <c r="B1480" s="16" t="str">
        <f t="shared" si="15"/>
        <v/>
      </c>
      <c r="C1480" s="35" t="str">
        <f t="shared" si="16"/>
        <v/>
      </c>
      <c r="D1480" s="35" t="str">
        <f t="shared" si="17"/>
        <v/>
      </c>
      <c r="E1480" s="35" t="str">
        <f t="shared" si="18"/>
        <v/>
      </c>
      <c r="F1480" s="35" t="str">
        <f t="shared" si="19"/>
        <v/>
      </c>
      <c r="G1480" s="35" t="str">
        <f t="shared" si="20"/>
        <v/>
      </c>
      <c r="H1480" s="49"/>
      <c r="I1480" s="47" t="str">
        <f t="shared" si="21"/>
        <v/>
      </c>
      <c r="J1480" s="50"/>
      <c r="K1480" s="45" t="b">
        <v>0</v>
      </c>
      <c r="L1480" s="45"/>
      <c r="M1480" s="45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  <c r="AC1480" s="26"/>
      <c r="AD1480" s="26"/>
      <c r="AE1480" s="26"/>
      <c r="AF1480" s="26"/>
      <c r="AG1480" s="26"/>
      <c r="AH1480" s="26"/>
      <c r="AI1480" s="26"/>
      <c r="AJ1480" s="26"/>
      <c r="AK1480" s="2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  <c r="BI1480" s="46"/>
      <c r="BJ1480" s="46"/>
      <c r="BK1480" s="46"/>
      <c r="BL1480" s="46"/>
      <c r="BM1480" s="46"/>
      <c r="BN1480" s="46"/>
      <c r="BO1480" s="46"/>
    </row>
    <row r="1481">
      <c r="A1481" s="16" t="str">
        <f t="shared" si="14"/>
        <v/>
      </c>
      <c r="B1481" s="16" t="str">
        <f t="shared" si="15"/>
        <v/>
      </c>
      <c r="C1481" s="35" t="str">
        <f t="shared" si="16"/>
        <v/>
      </c>
      <c r="D1481" s="35" t="str">
        <f t="shared" si="17"/>
        <v/>
      </c>
      <c r="E1481" s="35" t="str">
        <f t="shared" si="18"/>
        <v/>
      </c>
      <c r="F1481" s="35" t="str">
        <f t="shared" si="19"/>
        <v/>
      </c>
      <c r="G1481" s="35" t="str">
        <f t="shared" si="20"/>
        <v/>
      </c>
      <c r="H1481" s="49"/>
      <c r="I1481" s="47" t="str">
        <f t="shared" si="21"/>
        <v/>
      </c>
      <c r="J1481" s="50"/>
      <c r="K1481" s="45" t="b">
        <v>0</v>
      </c>
      <c r="L1481" s="45"/>
      <c r="M1481" s="45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  <c r="AC1481" s="26"/>
      <c r="AD1481" s="26"/>
      <c r="AE1481" s="26"/>
      <c r="AF1481" s="26"/>
      <c r="AG1481" s="26"/>
      <c r="AH1481" s="26"/>
      <c r="AI1481" s="26"/>
      <c r="AJ1481" s="26"/>
      <c r="AK1481" s="2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46"/>
      <c r="BM1481" s="46"/>
      <c r="BN1481" s="46"/>
      <c r="BO1481" s="46"/>
    </row>
    <row r="1482">
      <c r="A1482" s="16" t="str">
        <f t="shared" si="14"/>
        <v/>
      </c>
      <c r="B1482" s="16" t="str">
        <f t="shared" si="15"/>
        <v/>
      </c>
      <c r="C1482" s="35" t="str">
        <f t="shared" si="16"/>
        <v/>
      </c>
      <c r="D1482" s="35" t="str">
        <f t="shared" si="17"/>
        <v/>
      </c>
      <c r="E1482" s="35" t="str">
        <f t="shared" si="18"/>
        <v/>
      </c>
      <c r="F1482" s="35" t="str">
        <f t="shared" si="19"/>
        <v/>
      </c>
      <c r="G1482" s="35" t="str">
        <f t="shared" si="20"/>
        <v/>
      </c>
      <c r="H1482" s="49"/>
      <c r="I1482" s="47" t="str">
        <f t="shared" si="21"/>
        <v/>
      </c>
      <c r="J1482" s="50"/>
      <c r="K1482" s="45" t="b">
        <v>0</v>
      </c>
      <c r="L1482" s="45"/>
      <c r="M1482" s="45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  <c r="AC1482" s="26"/>
      <c r="AD1482" s="26"/>
      <c r="AE1482" s="26"/>
      <c r="AF1482" s="26"/>
      <c r="AG1482" s="26"/>
      <c r="AH1482" s="26"/>
      <c r="AI1482" s="26"/>
      <c r="AJ1482" s="26"/>
      <c r="AK1482" s="2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  <c r="BI1482" s="46"/>
      <c r="BJ1482" s="46"/>
      <c r="BK1482" s="46"/>
      <c r="BL1482" s="46"/>
      <c r="BM1482" s="46"/>
      <c r="BN1482" s="46"/>
      <c r="BO1482" s="46"/>
    </row>
    <row r="1483">
      <c r="A1483" s="16" t="str">
        <f t="shared" si="14"/>
        <v/>
      </c>
      <c r="B1483" s="16" t="str">
        <f t="shared" si="15"/>
        <v/>
      </c>
      <c r="C1483" s="35" t="str">
        <f t="shared" si="16"/>
        <v/>
      </c>
      <c r="D1483" s="35" t="str">
        <f t="shared" si="17"/>
        <v/>
      </c>
      <c r="E1483" s="35" t="str">
        <f t="shared" si="18"/>
        <v/>
      </c>
      <c r="F1483" s="35" t="str">
        <f t="shared" si="19"/>
        <v/>
      </c>
      <c r="G1483" s="35" t="str">
        <f t="shared" si="20"/>
        <v/>
      </c>
      <c r="H1483" s="49"/>
      <c r="I1483" s="47" t="str">
        <f t="shared" si="21"/>
        <v/>
      </c>
      <c r="J1483" s="50"/>
      <c r="K1483" s="45" t="b">
        <v>0</v>
      </c>
      <c r="L1483" s="45"/>
      <c r="M1483" s="45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  <c r="AC1483" s="26"/>
      <c r="AD1483" s="26"/>
      <c r="AE1483" s="26"/>
      <c r="AF1483" s="26"/>
      <c r="AG1483" s="26"/>
      <c r="AH1483" s="26"/>
      <c r="AI1483" s="26"/>
      <c r="AJ1483" s="26"/>
      <c r="AK1483" s="2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  <c r="BI1483" s="46"/>
      <c r="BJ1483" s="46"/>
      <c r="BK1483" s="46"/>
      <c r="BL1483" s="46"/>
      <c r="BM1483" s="46"/>
      <c r="BN1483" s="46"/>
      <c r="BO1483" s="46"/>
    </row>
    <row r="1484">
      <c r="A1484" s="16" t="str">
        <f t="shared" si="14"/>
        <v/>
      </c>
      <c r="B1484" s="16" t="str">
        <f t="shared" si="15"/>
        <v/>
      </c>
      <c r="C1484" s="35" t="str">
        <f t="shared" si="16"/>
        <v/>
      </c>
      <c r="D1484" s="35" t="str">
        <f t="shared" si="17"/>
        <v/>
      </c>
      <c r="E1484" s="35" t="str">
        <f t="shared" si="18"/>
        <v/>
      </c>
      <c r="F1484" s="35" t="str">
        <f t="shared" si="19"/>
        <v/>
      </c>
      <c r="G1484" s="35" t="str">
        <f t="shared" si="20"/>
        <v/>
      </c>
      <c r="H1484" s="49"/>
      <c r="I1484" s="47" t="str">
        <f t="shared" si="21"/>
        <v/>
      </c>
      <c r="J1484" s="50"/>
      <c r="K1484" s="45" t="b">
        <v>0</v>
      </c>
      <c r="L1484" s="45"/>
      <c r="M1484" s="45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  <c r="AB1484" s="26"/>
      <c r="AC1484" s="26"/>
      <c r="AD1484" s="26"/>
      <c r="AE1484" s="26"/>
      <c r="AF1484" s="26"/>
      <c r="AG1484" s="26"/>
      <c r="AH1484" s="26"/>
      <c r="AI1484" s="26"/>
      <c r="AJ1484" s="26"/>
      <c r="AK1484" s="2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  <c r="BI1484" s="46"/>
      <c r="BJ1484" s="46"/>
      <c r="BK1484" s="46"/>
      <c r="BL1484" s="46"/>
      <c r="BM1484" s="46"/>
      <c r="BN1484" s="46"/>
      <c r="BO1484" s="46"/>
    </row>
    <row r="1485">
      <c r="A1485" s="16" t="str">
        <f t="shared" si="14"/>
        <v/>
      </c>
      <c r="B1485" s="16" t="str">
        <f t="shared" si="15"/>
        <v/>
      </c>
      <c r="C1485" s="35" t="str">
        <f t="shared" si="16"/>
        <v/>
      </c>
      <c r="D1485" s="35" t="str">
        <f t="shared" si="17"/>
        <v/>
      </c>
      <c r="E1485" s="35" t="str">
        <f t="shared" si="18"/>
        <v/>
      </c>
      <c r="F1485" s="35" t="str">
        <f t="shared" si="19"/>
        <v/>
      </c>
      <c r="G1485" s="35" t="str">
        <f t="shared" si="20"/>
        <v/>
      </c>
      <c r="H1485" s="49"/>
      <c r="I1485" s="47" t="str">
        <f t="shared" si="21"/>
        <v/>
      </c>
      <c r="J1485" s="50"/>
      <c r="K1485" s="45" t="b">
        <v>0</v>
      </c>
      <c r="L1485" s="45"/>
      <c r="M1485" s="45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  <c r="AB1485" s="26"/>
      <c r="AC1485" s="26"/>
      <c r="AD1485" s="26"/>
      <c r="AE1485" s="26"/>
      <c r="AF1485" s="26"/>
      <c r="AG1485" s="26"/>
      <c r="AH1485" s="26"/>
      <c r="AI1485" s="26"/>
      <c r="AJ1485" s="26"/>
      <c r="AK1485" s="2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  <c r="BI1485" s="46"/>
      <c r="BJ1485" s="46"/>
      <c r="BK1485" s="46"/>
      <c r="BL1485" s="46"/>
      <c r="BM1485" s="46"/>
      <c r="BN1485" s="46"/>
      <c r="BO1485" s="46"/>
    </row>
    <row r="1486">
      <c r="A1486" s="16" t="str">
        <f t="shared" si="14"/>
        <v/>
      </c>
      <c r="B1486" s="16" t="str">
        <f t="shared" si="15"/>
        <v/>
      </c>
      <c r="C1486" s="35" t="str">
        <f t="shared" si="16"/>
        <v/>
      </c>
      <c r="D1486" s="35" t="str">
        <f t="shared" si="17"/>
        <v/>
      </c>
      <c r="E1486" s="35" t="str">
        <f t="shared" si="18"/>
        <v/>
      </c>
      <c r="F1486" s="35" t="str">
        <f t="shared" si="19"/>
        <v/>
      </c>
      <c r="G1486" s="35" t="str">
        <f t="shared" si="20"/>
        <v/>
      </c>
      <c r="H1486" s="49"/>
      <c r="I1486" s="47" t="str">
        <f t="shared" si="21"/>
        <v/>
      </c>
      <c r="J1486" s="50"/>
      <c r="K1486" s="45" t="b">
        <v>0</v>
      </c>
      <c r="L1486" s="45"/>
      <c r="M1486" s="45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  <c r="AB1486" s="26"/>
      <c r="AC1486" s="26"/>
      <c r="AD1486" s="26"/>
      <c r="AE1486" s="26"/>
      <c r="AF1486" s="26"/>
      <c r="AG1486" s="26"/>
      <c r="AH1486" s="26"/>
      <c r="AI1486" s="26"/>
      <c r="AJ1486" s="26"/>
      <c r="AK1486" s="2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/>
      <c r="BK1486" s="46"/>
      <c r="BL1486" s="46"/>
      <c r="BM1486" s="46"/>
      <c r="BN1486" s="46"/>
      <c r="BO1486" s="46"/>
    </row>
    <row r="1487">
      <c r="A1487" s="16" t="str">
        <f t="shared" si="14"/>
        <v/>
      </c>
      <c r="B1487" s="16" t="str">
        <f t="shared" si="15"/>
        <v/>
      </c>
      <c r="C1487" s="35" t="str">
        <f t="shared" si="16"/>
        <v/>
      </c>
      <c r="D1487" s="35" t="str">
        <f t="shared" si="17"/>
        <v/>
      </c>
      <c r="E1487" s="35" t="str">
        <f t="shared" si="18"/>
        <v/>
      </c>
      <c r="F1487" s="35" t="str">
        <f t="shared" si="19"/>
        <v/>
      </c>
      <c r="G1487" s="35" t="str">
        <f t="shared" si="20"/>
        <v/>
      </c>
      <c r="H1487" s="49"/>
      <c r="I1487" s="47" t="str">
        <f t="shared" si="21"/>
        <v/>
      </c>
      <c r="J1487" s="50"/>
      <c r="K1487" s="45" t="b">
        <v>0</v>
      </c>
      <c r="L1487" s="45"/>
      <c r="M1487" s="45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  <c r="AB1487" s="26"/>
      <c r="AC1487" s="26"/>
      <c r="AD1487" s="26"/>
      <c r="AE1487" s="26"/>
      <c r="AF1487" s="26"/>
      <c r="AG1487" s="26"/>
      <c r="AH1487" s="26"/>
      <c r="AI1487" s="26"/>
      <c r="AJ1487" s="26"/>
      <c r="AK1487" s="2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/>
      <c r="BK1487" s="46"/>
      <c r="BL1487" s="46"/>
      <c r="BM1487" s="46"/>
      <c r="BN1487" s="46"/>
      <c r="BO1487" s="46"/>
    </row>
    <row r="1488">
      <c r="A1488" s="16" t="str">
        <f t="shared" si="14"/>
        <v/>
      </c>
      <c r="B1488" s="16" t="str">
        <f t="shared" si="15"/>
        <v/>
      </c>
      <c r="C1488" s="35" t="str">
        <f t="shared" si="16"/>
        <v/>
      </c>
      <c r="D1488" s="35" t="str">
        <f t="shared" si="17"/>
        <v/>
      </c>
      <c r="E1488" s="35" t="str">
        <f t="shared" si="18"/>
        <v/>
      </c>
      <c r="F1488" s="35" t="str">
        <f t="shared" si="19"/>
        <v/>
      </c>
      <c r="G1488" s="35" t="str">
        <f t="shared" si="20"/>
        <v/>
      </c>
      <c r="H1488" s="49"/>
      <c r="I1488" s="47" t="str">
        <f t="shared" si="21"/>
        <v/>
      </c>
      <c r="J1488" s="50"/>
      <c r="K1488" s="45" t="b">
        <v>0</v>
      </c>
      <c r="L1488" s="45"/>
      <c r="M1488" s="45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  <c r="AB1488" s="26"/>
      <c r="AC1488" s="26"/>
      <c r="AD1488" s="26"/>
      <c r="AE1488" s="26"/>
      <c r="AF1488" s="26"/>
      <c r="AG1488" s="26"/>
      <c r="AH1488" s="26"/>
      <c r="AI1488" s="26"/>
      <c r="AJ1488" s="26"/>
      <c r="AK1488" s="2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  <c r="BI1488" s="46"/>
      <c r="BJ1488" s="46"/>
      <c r="BK1488" s="46"/>
      <c r="BL1488" s="46"/>
      <c r="BM1488" s="46"/>
      <c r="BN1488" s="46"/>
      <c r="BO1488" s="46"/>
    </row>
    <row r="1489">
      <c r="A1489" s="16" t="str">
        <f t="shared" si="14"/>
        <v/>
      </c>
      <c r="B1489" s="16" t="str">
        <f t="shared" si="15"/>
        <v/>
      </c>
      <c r="C1489" s="35" t="str">
        <f t="shared" si="16"/>
        <v/>
      </c>
      <c r="D1489" s="35" t="str">
        <f t="shared" si="17"/>
        <v/>
      </c>
      <c r="E1489" s="35" t="str">
        <f t="shared" si="18"/>
        <v/>
      </c>
      <c r="F1489" s="35" t="str">
        <f t="shared" si="19"/>
        <v/>
      </c>
      <c r="G1489" s="35" t="str">
        <f t="shared" si="20"/>
        <v/>
      </c>
      <c r="H1489" s="49"/>
      <c r="I1489" s="47" t="str">
        <f t="shared" si="21"/>
        <v/>
      </c>
      <c r="J1489" s="50"/>
      <c r="K1489" s="45" t="b">
        <v>0</v>
      </c>
      <c r="L1489" s="45"/>
      <c r="M1489" s="45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  <c r="AB1489" s="26"/>
      <c r="AC1489" s="26"/>
      <c r="AD1489" s="26"/>
      <c r="AE1489" s="26"/>
      <c r="AF1489" s="26"/>
      <c r="AG1489" s="26"/>
      <c r="AH1489" s="26"/>
      <c r="AI1489" s="26"/>
      <c r="AJ1489" s="26"/>
      <c r="AK1489" s="2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46"/>
      <c r="BM1489" s="46"/>
      <c r="BN1489" s="46"/>
      <c r="BO1489" s="46"/>
    </row>
    <row r="1490">
      <c r="A1490" s="16" t="str">
        <f t="shared" si="14"/>
        <v/>
      </c>
      <c r="B1490" s="16" t="str">
        <f t="shared" si="15"/>
        <v/>
      </c>
      <c r="C1490" s="35" t="str">
        <f t="shared" si="16"/>
        <v/>
      </c>
      <c r="D1490" s="35" t="str">
        <f t="shared" si="17"/>
        <v/>
      </c>
      <c r="E1490" s="35" t="str">
        <f t="shared" si="18"/>
        <v/>
      </c>
      <c r="F1490" s="35" t="str">
        <f t="shared" si="19"/>
        <v/>
      </c>
      <c r="G1490" s="35" t="str">
        <f t="shared" si="20"/>
        <v/>
      </c>
      <c r="H1490" s="49"/>
      <c r="I1490" s="47" t="str">
        <f t="shared" si="21"/>
        <v/>
      </c>
      <c r="J1490" s="50"/>
      <c r="K1490" s="45" t="b">
        <v>0</v>
      </c>
      <c r="L1490" s="45"/>
      <c r="M1490" s="45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  <c r="AC1490" s="26"/>
      <c r="AD1490" s="26"/>
      <c r="AE1490" s="26"/>
      <c r="AF1490" s="26"/>
      <c r="AG1490" s="26"/>
      <c r="AH1490" s="26"/>
      <c r="AI1490" s="26"/>
      <c r="AJ1490" s="26"/>
      <c r="AK1490" s="2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</row>
    <row r="1491">
      <c r="A1491" s="16" t="str">
        <f t="shared" si="14"/>
        <v/>
      </c>
      <c r="B1491" s="16" t="str">
        <f t="shared" si="15"/>
        <v/>
      </c>
      <c r="C1491" s="35" t="str">
        <f t="shared" si="16"/>
        <v/>
      </c>
      <c r="D1491" s="35" t="str">
        <f t="shared" si="17"/>
        <v/>
      </c>
      <c r="E1491" s="35" t="str">
        <f t="shared" si="18"/>
        <v/>
      </c>
      <c r="F1491" s="35" t="str">
        <f t="shared" si="19"/>
        <v/>
      </c>
      <c r="G1491" s="35" t="str">
        <f t="shared" si="20"/>
        <v/>
      </c>
      <c r="H1491" s="49"/>
      <c r="I1491" s="47" t="str">
        <f t="shared" si="21"/>
        <v/>
      </c>
      <c r="J1491" s="50"/>
      <c r="K1491" s="45" t="b">
        <v>0</v>
      </c>
      <c r="L1491" s="45"/>
      <c r="M1491" s="45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  <c r="AB1491" s="26"/>
      <c r="AC1491" s="26"/>
      <c r="AD1491" s="26"/>
      <c r="AE1491" s="26"/>
      <c r="AF1491" s="26"/>
      <c r="AG1491" s="26"/>
      <c r="AH1491" s="26"/>
      <c r="AI1491" s="26"/>
      <c r="AJ1491" s="26"/>
      <c r="AK1491" s="2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46"/>
      <c r="BM1491" s="46"/>
      <c r="BN1491" s="46"/>
      <c r="BO1491" s="46"/>
    </row>
    <row r="1492">
      <c r="A1492" s="16" t="str">
        <f t="shared" si="14"/>
        <v/>
      </c>
      <c r="B1492" s="16" t="str">
        <f t="shared" si="15"/>
        <v/>
      </c>
      <c r="C1492" s="35" t="str">
        <f t="shared" si="16"/>
        <v/>
      </c>
      <c r="D1492" s="35" t="str">
        <f t="shared" si="17"/>
        <v/>
      </c>
      <c r="E1492" s="35" t="str">
        <f t="shared" si="18"/>
        <v/>
      </c>
      <c r="F1492" s="35" t="str">
        <f t="shared" si="19"/>
        <v/>
      </c>
      <c r="G1492" s="35" t="str">
        <f t="shared" si="20"/>
        <v/>
      </c>
      <c r="H1492" s="49"/>
      <c r="I1492" s="47" t="str">
        <f t="shared" si="21"/>
        <v/>
      </c>
      <c r="J1492" s="50"/>
      <c r="K1492" s="45" t="b">
        <v>0</v>
      </c>
      <c r="L1492" s="45"/>
      <c r="M1492" s="45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  <c r="AB1492" s="26"/>
      <c r="AC1492" s="26"/>
      <c r="AD1492" s="26"/>
      <c r="AE1492" s="26"/>
      <c r="AF1492" s="26"/>
      <c r="AG1492" s="26"/>
      <c r="AH1492" s="26"/>
      <c r="AI1492" s="26"/>
      <c r="AJ1492" s="26"/>
      <c r="AK1492" s="2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46"/>
      <c r="BM1492" s="46"/>
      <c r="BN1492" s="46"/>
      <c r="BO1492" s="46"/>
    </row>
    <row r="1493">
      <c r="A1493" s="16" t="str">
        <f t="shared" si="14"/>
        <v/>
      </c>
      <c r="B1493" s="16" t="str">
        <f t="shared" si="15"/>
        <v/>
      </c>
      <c r="C1493" s="35" t="str">
        <f t="shared" si="16"/>
        <v/>
      </c>
      <c r="D1493" s="35" t="str">
        <f t="shared" si="17"/>
        <v/>
      </c>
      <c r="E1493" s="35" t="str">
        <f t="shared" si="18"/>
        <v/>
      </c>
      <c r="F1493" s="35" t="str">
        <f t="shared" si="19"/>
        <v/>
      </c>
      <c r="G1493" s="35" t="str">
        <f t="shared" si="20"/>
        <v/>
      </c>
      <c r="H1493" s="49"/>
      <c r="I1493" s="47" t="str">
        <f t="shared" si="21"/>
        <v/>
      </c>
      <c r="J1493" s="50"/>
      <c r="K1493" s="45" t="b">
        <v>0</v>
      </c>
      <c r="L1493" s="45"/>
      <c r="M1493" s="45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  <c r="AC1493" s="26"/>
      <c r="AD1493" s="26"/>
      <c r="AE1493" s="26"/>
      <c r="AF1493" s="26"/>
      <c r="AG1493" s="26"/>
      <c r="AH1493" s="26"/>
      <c r="AI1493" s="26"/>
      <c r="AJ1493" s="26"/>
      <c r="AK1493" s="2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  <c r="BI1493" s="46"/>
      <c r="BJ1493" s="46"/>
      <c r="BK1493" s="46"/>
      <c r="BL1493" s="46"/>
      <c r="BM1493" s="46"/>
      <c r="BN1493" s="46"/>
      <c r="BO1493" s="46"/>
    </row>
    <row r="1494">
      <c r="A1494" s="16" t="str">
        <f t="shared" si="14"/>
        <v/>
      </c>
      <c r="B1494" s="16" t="str">
        <f t="shared" si="15"/>
        <v/>
      </c>
      <c r="C1494" s="35" t="str">
        <f t="shared" si="16"/>
        <v/>
      </c>
      <c r="D1494" s="35" t="str">
        <f t="shared" si="17"/>
        <v/>
      </c>
      <c r="E1494" s="35" t="str">
        <f t="shared" si="18"/>
        <v/>
      </c>
      <c r="F1494" s="35" t="str">
        <f t="shared" si="19"/>
        <v/>
      </c>
      <c r="G1494" s="35" t="str">
        <f t="shared" si="20"/>
        <v/>
      </c>
      <c r="H1494" s="49"/>
      <c r="I1494" s="47" t="str">
        <f t="shared" si="21"/>
        <v/>
      </c>
      <c r="J1494" s="50"/>
      <c r="K1494" s="45" t="b">
        <v>0</v>
      </c>
      <c r="L1494" s="45"/>
      <c r="M1494" s="45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  <c r="AC1494" s="26"/>
      <c r="AD1494" s="26"/>
      <c r="AE1494" s="26"/>
      <c r="AF1494" s="26"/>
      <c r="AG1494" s="26"/>
      <c r="AH1494" s="26"/>
      <c r="AI1494" s="26"/>
      <c r="AJ1494" s="26"/>
      <c r="AK1494" s="2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  <c r="BI1494" s="46"/>
      <c r="BJ1494" s="46"/>
      <c r="BK1494" s="46"/>
      <c r="BL1494" s="46"/>
      <c r="BM1494" s="46"/>
      <c r="BN1494" s="46"/>
      <c r="BO1494" s="46"/>
    </row>
    <row r="1495">
      <c r="A1495" s="16" t="str">
        <f t="shared" si="14"/>
        <v/>
      </c>
      <c r="B1495" s="16" t="str">
        <f t="shared" si="15"/>
        <v/>
      </c>
      <c r="C1495" s="35" t="str">
        <f t="shared" si="16"/>
        <v/>
      </c>
      <c r="D1495" s="35" t="str">
        <f t="shared" si="17"/>
        <v/>
      </c>
      <c r="E1495" s="35" t="str">
        <f t="shared" si="18"/>
        <v/>
      </c>
      <c r="F1495" s="35" t="str">
        <f t="shared" si="19"/>
        <v/>
      </c>
      <c r="G1495" s="35" t="str">
        <f t="shared" si="20"/>
        <v/>
      </c>
      <c r="H1495" s="49"/>
      <c r="I1495" s="47" t="str">
        <f t="shared" si="21"/>
        <v/>
      </c>
      <c r="J1495" s="50"/>
      <c r="K1495" s="45" t="b">
        <v>0</v>
      </c>
      <c r="L1495" s="45"/>
      <c r="M1495" s="45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  <c r="AC1495" s="26"/>
      <c r="AD1495" s="26"/>
      <c r="AE1495" s="26"/>
      <c r="AF1495" s="26"/>
      <c r="AG1495" s="26"/>
      <c r="AH1495" s="26"/>
      <c r="AI1495" s="26"/>
      <c r="AJ1495" s="26"/>
      <c r="AK1495" s="2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46"/>
      <c r="BM1495" s="46"/>
      <c r="BN1495" s="46"/>
      <c r="BO1495" s="46"/>
    </row>
    <row r="1496">
      <c r="A1496" s="16" t="str">
        <f t="shared" si="14"/>
        <v/>
      </c>
      <c r="B1496" s="16" t="str">
        <f t="shared" si="15"/>
        <v/>
      </c>
      <c r="C1496" s="35" t="str">
        <f t="shared" si="16"/>
        <v/>
      </c>
      <c r="D1496" s="35" t="str">
        <f t="shared" si="17"/>
        <v/>
      </c>
      <c r="E1496" s="35" t="str">
        <f t="shared" si="18"/>
        <v/>
      </c>
      <c r="F1496" s="35" t="str">
        <f t="shared" si="19"/>
        <v/>
      </c>
      <c r="G1496" s="35" t="str">
        <f t="shared" si="20"/>
        <v/>
      </c>
      <c r="H1496" s="49"/>
      <c r="I1496" s="47" t="str">
        <f t="shared" si="21"/>
        <v/>
      </c>
      <c r="J1496" s="50"/>
      <c r="K1496" s="45" t="b">
        <v>0</v>
      </c>
      <c r="L1496" s="45"/>
      <c r="M1496" s="45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  <c r="AC1496" s="26"/>
      <c r="AD1496" s="26"/>
      <c r="AE1496" s="26"/>
      <c r="AF1496" s="26"/>
      <c r="AG1496" s="26"/>
      <c r="AH1496" s="26"/>
      <c r="AI1496" s="26"/>
      <c r="AJ1496" s="26"/>
      <c r="AK1496" s="2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</row>
    <row r="1497">
      <c r="A1497" s="16" t="str">
        <f t="shared" si="14"/>
        <v/>
      </c>
      <c r="B1497" s="16" t="str">
        <f t="shared" si="15"/>
        <v/>
      </c>
      <c r="C1497" s="35" t="str">
        <f t="shared" si="16"/>
        <v/>
      </c>
      <c r="D1497" s="35" t="str">
        <f t="shared" si="17"/>
        <v/>
      </c>
      <c r="E1497" s="35" t="str">
        <f t="shared" si="18"/>
        <v/>
      </c>
      <c r="F1497" s="35" t="str">
        <f t="shared" si="19"/>
        <v/>
      </c>
      <c r="G1497" s="35" t="str">
        <f t="shared" si="20"/>
        <v/>
      </c>
      <c r="H1497" s="49"/>
      <c r="I1497" s="47" t="str">
        <f t="shared" si="21"/>
        <v/>
      </c>
      <c r="J1497" s="50"/>
      <c r="K1497" s="45" t="b">
        <v>0</v>
      </c>
      <c r="L1497" s="45"/>
      <c r="M1497" s="45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  <c r="AC1497" s="26"/>
      <c r="AD1497" s="26"/>
      <c r="AE1497" s="26"/>
      <c r="AF1497" s="26"/>
      <c r="AG1497" s="26"/>
      <c r="AH1497" s="26"/>
      <c r="AI1497" s="26"/>
      <c r="AJ1497" s="26"/>
      <c r="AK1497" s="2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</row>
    <row r="1498">
      <c r="A1498" s="16" t="str">
        <f t="shared" si="14"/>
        <v/>
      </c>
      <c r="B1498" s="16" t="str">
        <f t="shared" si="15"/>
        <v/>
      </c>
      <c r="C1498" s="35" t="str">
        <f t="shared" si="16"/>
        <v/>
      </c>
      <c r="D1498" s="35" t="str">
        <f t="shared" si="17"/>
        <v/>
      </c>
      <c r="E1498" s="35" t="str">
        <f t="shared" si="18"/>
        <v/>
      </c>
      <c r="F1498" s="35" t="str">
        <f t="shared" si="19"/>
        <v/>
      </c>
      <c r="G1498" s="35" t="str">
        <f t="shared" si="20"/>
        <v/>
      </c>
      <c r="H1498" s="49"/>
      <c r="I1498" s="47" t="str">
        <f t="shared" si="21"/>
        <v/>
      </c>
      <c r="J1498" s="50"/>
      <c r="K1498" s="45" t="b">
        <v>0</v>
      </c>
      <c r="L1498" s="45"/>
      <c r="M1498" s="45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  <c r="AC1498" s="26"/>
      <c r="AD1498" s="26"/>
      <c r="AE1498" s="26"/>
      <c r="AF1498" s="26"/>
      <c r="AG1498" s="26"/>
      <c r="AH1498" s="26"/>
      <c r="AI1498" s="26"/>
      <c r="AJ1498" s="26"/>
      <c r="AK1498" s="2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</row>
    <row r="1499">
      <c r="A1499" s="16" t="str">
        <f t="shared" si="14"/>
        <v/>
      </c>
      <c r="B1499" s="16" t="str">
        <f t="shared" si="15"/>
        <v/>
      </c>
      <c r="C1499" s="35" t="str">
        <f t="shared" si="16"/>
        <v/>
      </c>
      <c r="D1499" s="35" t="str">
        <f t="shared" si="17"/>
        <v/>
      </c>
      <c r="E1499" s="35" t="str">
        <f t="shared" si="18"/>
        <v/>
      </c>
      <c r="F1499" s="35" t="str">
        <f t="shared" si="19"/>
        <v/>
      </c>
      <c r="G1499" s="35" t="str">
        <f t="shared" si="20"/>
        <v/>
      </c>
      <c r="H1499" s="49"/>
      <c r="I1499" s="47" t="str">
        <f t="shared" si="21"/>
        <v/>
      </c>
      <c r="J1499" s="50"/>
      <c r="K1499" s="45" t="b">
        <v>0</v>
      </c>
      <c r="L1499" s="45"/>
      <c r="M1499" s="45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  <c r="AC1499" s="26"/>
      <c r="AD1499" s="26"/>
      <c r="AE1499" s="26"/>
      <c r="AF1499" s="26"/>
      <c r="AG1499" s="26"/>
      <c r="AH1499" s="26"/>
      <c r="AI1499" s="26"/>
      <c r="AJ1499" s="26"/>
      <c r="AK1499" s="2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</row>
    <row r="1500">
      <c r="A1500" s="16" t="str">
        <f t="shared" si="14"/>
        <v/>
      </c>
      <c r="B1500" s="16" t="str">
        <f t="shared" si="15"/>
        <v/>
      </c>
      <c r="C1500" s="35" t="str">
        <f t="shared" si="16"/>
        <v/>
      </c>
      <c r="D1500" s="35" t="str">
        <f t="shared" si="17"/>
        <v/>
      </c>
      <c r="E1500" s="35" t="str">
        <f t="shared" si="18"/>
        <v/>
      </c>
      <c r="F1500" s="35" t="str">
        <f t="shared" si="19"/>
        <v/>
      </c>
      <c r="G1500" s="35" t="str">
        <f t="shared" si="20"/>
        <v/>
      </c>
      <c r="H1500" s="49"/>
      <c r="I1500" s="47" t="str">
        <f t="shared" si="21"/>
        <v/>
      </c>
      <c r="J1500" s="50"/>
      <c r="K1500" s="45" t="b">
        <v>0</v>
      </c>
      <c r="L1500" s="45"/>
      <c r="M1500" s="45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  <c r="AC1500" s="26"/>
      <c r="AD1500" s="26"/>
      <c r="AE1500" s="26"/>
      <c r="AF1500" s="26"/>
      <c r="AG1500" s="26"/>
      <c r="AH1500" s="26"/>
      <c r="AI1500" s="26"/>
      <c r="AJ1500" s="26"/>
      <c r="AK1500" s="2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</row>
    <row r="1501">
      <c r="A1501" s="16" t="str">
        <f t="shared" si="14"/>
        <v/>
      </c>
      <c r="B1501" s="16" t="str">
        <f t="shared" si="15"/>
        <v/>
      </c>
      <c r="C1501" s="35" t="str">
        <f t="shared" si="16"/>
        <v/>
      </c>
      <c r="D1501" s="35" t="str">
        <f t="shared" si="17"/>
        <v/>
      </c>
      <c r="E1501" s="35" t="str">
        <f t="shared" si="18"/>
        <v/>
      </c>
      <c r="F1501" s="35" t="str">
        <f t="shared" si="19"/>
        <v/>
      </c>
      <c r="G1501" s="35" t="str">
        <f t="shared" si="20"/>
        <v/>
      </c>
      <c r="H1501" s="49"/>
      <c r="I1501" s="47" t="str">
        <f t="shared" si="21"/>
        <v/>
      </c>
      <c r="J1501" s="50"/>
      <c r="K1501" s="45" t="b">
        <v>0</v>
      </c>
      <c r="L1501" s="45"/>
      <c r="M1501" s="45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  <c r="AB1501" s="26"/>
      <c r="AC1501" s="26"/>
      <c r="AD1501" s="26"/>
      <c r="AE1501" s="26"/>
      <c r="AF1501" s="26"/>
      <c r="AG1501" s="26"/>
      <c r="AH1501" s="26"/>
      <c r="AI1501" s="26"/>
      <c r="AJ1501" s="26"/>
      <c r="AK1501" s="2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</row>
    <row r="1502">
      <c r="A1502" s="16" t="str">
        <f t="shared" si="14"/>
        <v/>
      </c>
      <c r="B1502" s="16" t="str">
        <f t="shared" si="15"/>
        <v/>
      </c>
      <c r="C1502" s="35" t="str">
        <f t="shared" si="16"/>
        <v/>
      </c>
      <c r="D1502" s="35" t="str">
        <f t="shared" si="17"/>
        <v/>
      </c>
      <c r="E1502" s="35" t="str">
        <f t="shared" si="18"/>
        <v/>
      </c>
      <c r="F1502" s="35" t="str">
        <f t="shared" si="19"/>
        <v/>
      </c>
      <c r="G1502" s="35" t="str">
        <f t="shared" si="20"/>
        <v/>
      </c>
      <c r="H1502" s="49"/>
      <c r="I1502" s="47" t="str">
        <f t="shared" si="21"/>
        <v/>
      </c>
      <c r="J1502" s="50"/>
      <c r="K1502" s="45" t="b">
        <v>0</v>
      </c>
      <c r="L1502" s="45"/>
      <c r="M1502" s="45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  <c r="AB1502" s="26"/>
      <c r="AC1502" s="26"/>
      <c r="AD1502" s="26"/>
      <c r="AE1502" s="26"/>
      <c r="AF1502" s="26"/>
      <c r="AG1502" s="26"/>
      <c r="AH1502" s="26"/>
      <c r="AI1502" s="26"/>
      <c r="AJ1502" s="26"/>
      <c r="AK1502" s="2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</row>
    <row r="1503">
      <c r="A1503" s="16" t="str">
        <f t="shared" si="14"/>
        <v/>
      </c>
      <c r="B1503" s="16" t="str">
        <f t="shared" si="15"/>
        <v/>
      </c>
      <c r="C1503" s="35" t="str">
        <f t="shared" si="16"/>
        <v/>
      </c>
      <c r="D1503" s="35" t="str">
        <f t="shared" si="17"/>
        <v/>
      </c>
      <c r="E1503" s="35" t="str">
        <f t="shared" si="18"/>
        <v/>
      </c>
      <c r="F1503" s="35" t="str">
        <f t="shared" si="19"/>
        <v/>
      </c>
      <c r="G1503" s="35" t="str">
        <f t="shared" si="20"/>
        <v/>
      </c>
      <c r="H1503" s="49"/>
      <c r="I1503" s="47" t="str">
        <f t="shared" si="21"/>
        <v/>
      </c>
      <c r="J1503" s="50"/>
      <c r="K1503" s="45" t="b">
        <v>0</v>
      </c>
      <c r="L1503" s="45"/>
      <c r="M1503" s="45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  <c r="AC1503" s="26"/>
      <c r="AD1503" s="26"/>
      <c r="AE1503" s="26"/>
      <c r="AF1503" s="26"/>
      <c r="AG1503" s="26"/>
      <c r="AH1503" s="26"/>
      <c r="AI1503" s="26"/>
      <c r="AJ1503" s="26"/>
      <c r="AK1503" s="2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</row>
    <row r="1504">
      <c r="A1504" s="16" t="str">
        <f t="shared" si="14"/>
        <v/>
      </c>
      <c r="B1504" s="16" t="str">
        <f t="shared" si="15"/>
        <v/>
      </c>
      <c r="C1504" s="35" t="str">
        <f t="shared" si="16"/>
        <v/>
      </c>
      <c r="D1504" s="35" t="str">
        <f t="shared" si="17"/>
        <v/>
      </c>
      <c r="E1504" s="35" t="str">
        <f t="shared" si="18"/>
        <v/>
      </c>
      <c r="F1504" s="35" t="str">
        <f t="shared" si="19"/>
        <v/>
      </c>
      <c r="G1504" s="35" t="str">
        <f t="shared" si="20"/>
        <v/>
      </c>
      <c r="H1504" s="49"/>
      <c r="I1504" s="47" t="str">
        <f t="shared" si="21"/>
        <v/>
      </c>
      <c r="J1504" s="50"/>
      <c r="K1504" s="45" t="b">
        <v>0</v>
      </c>
      <c r="L1504" s="45"/>
      <c r="M1504" s="45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  <c r="AB1504" s="26"/>
      <c r="AC1504" s="26"/>
      <c r="AD1504" s="26"/>
      <c r="AE1504" s="26"/>
      <c r="AF1504" s="26"/>
      <c r="AG1504" s="26"/>
      <c r="AH1504" s="26"/>
      <c r="AI1504" s="26"/>
      <c r="AJ1504" s="26"/>
      <c r="AK1504" s="2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/>
    </row>
    <row r="1505">
      <c r="A1505" s="16" t="str">
        <f t="shared" si="14"/>
        <v/>
      </c>
      <c r="B1505" s="16" t="str">
        <f t="shared" si="15"/>
        <v/>
      </c>
      <c r="C1505" s="35" t="str">
        <f t="shared" si="16"/>
        <v/>
      </c>
      <c r="D1505" s="35" t="str">
        <f t="shared" si="17"/>
        <v/>
      </c>
      <c r="E1505" s="35" t="str">
        <f t="shared" si="18"/>
        <v/>
      </c>
      <c r="F1505" s="35" t="str">
        <f t="shared" si="19"/>
        <v/>
      </c>
      <c r="G1505" s="35" t="str">
        <f t="shared" si="20"/>
        <v/>
      </c>
      <c r="H1505" s="49"/>
      <c r="I1505" s="47" t="str">
        <f t="shared" si="21"/>
        <v/>
      </c>
      <c r="J1505" s="50"/>
      <c r="K1505" s="45" t="b">
        <v>0</v>
      </c>
      <c r="L1505" s="45"/>
      <c r="M1505" s="45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  <c r="AB1505" s="26"/>
      <c r="AC1505" s="26"/>
      <c r="AD1505" s="26"/>
      <c r="AE1505" s="26"/>
      <c r="AF1505" s="26"/>
      <c r="AG1505" s="26"/>
      <c r="AH1505" s="26"/>
      <c r="AI1505" s="26"/>
      <c r="AJ1505" s="26"/>
      <c r="AK1505" s="2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46"/>
      <c r="BM1505" s="46"/>
      <c r="BN1505" s="46"/>
      <c r="BO1505" s="46"/>
    </row>
    <row r="1506">
      <c r="A1506" s="16" t="str">
        <f t="shared" si="14"/>
        <v/>
      </c>
      <c r="B1506" s="16" t="str">
        <f t="shared" si="15"/>
        <v/>
      </c>
      <c r="C1506" s="35" t="str">
        <f t="shared" si="16"/>
        <v/>
      </c>
      <c r="D1506" s="35" t="str">
        <f t="shared" si="17"/>
        <v/>
      </c>
      <c r="E1506" s="35" t="str">
        <f t="shared" si="18"/>
        <v/>
      </c>
      <c r="F1506" s="35" t="str">
        <f t="shared" si="19"/>
        <v/>
      </c>
      <c r="G1506" s="35" t="str">
        <f t="shared" si="20"/>
        <v/>
      </c>
      <c r="H1506" s="49"/>
      <c r="I1506" s="47" t="str">
        <f t="shared" si="21"/>
        <v/>
      </c>
      <c r="J1506" s="50"/>
      <c r="K1506" s="45" t="b">
        <v>0</v>
      </c>
      <c r="L1506" s="45"/>
      <c r="M1506" s="45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  <c r="AD1506" s="26"/>
      <c r="AE1506" s="26"/>
      <c r="AF1506" s="26"/>
      <c r="AG1506" s="26"/>
      <c r="AH1506" s="26"/>
      <c r="AI1506" s="26"/>
      <c r="AJ1506" s="26"/>
      <c r="AK1506" s="2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</row>
    <row r="1507">
      <c r="A1507" s="16" t="str">
        <f t="shared" si="14"/>
        <v/>
      </c>
      <c r="B1507" s="16" t="str">
        <f t="shared" si="15"/>
        <v/>
      </c>
      <c r="C1507" s="35" t="str">
        <f t="shared" si="16"/>
        <v/>
      </c>
      <c r="D1507" s="35" t="str">
        <f t="shared" si="17"/>
        <v/>
      </c>
      <c r="E1507" s="35" t="str">
        <f t="shared" si="18"/>
        <v/>
      </c>
      <c r="F1507" s="35" t="str">
        <f t="shared" si="19"/>
        <v/>
      </c>
      <c r="G1507" s="35" t="str">
        <f t="shared" si="20"/>
        <v/>
      </c>
      <c r="H1507" s="49"/>
      <c r="I1507" s="47" t="str">
        <f t="shared" si="21"/>
        <v/>
      </c>
      <c r="J1507" s="50"/>
      <c r="K1507" s="45" t="b">
        <v>0</v>
      </c>
      <c r="L1507" s="45"/>
      <c r="M1507" s="45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  <c r="AC1507" s="26"/>
      <c r="AD1507" s="26"/>
      <c r="AE1507" s="26"/>
      <c r="AF1507" s="26"/>
      <c r="AG1507" s="26"/>
      <c r="AH1507" s="26"/>
      <c r="AI1507" s="26"/>
      <c r="AJ1507" s="26"/>
      <c r="AK1507" s="2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</row>
    <row r="1508">
      <c r="A1508" s="16" t="str">
        <f t="shared" si="14"/>
        <v/>
      </c>
      <c r="B1508" s="16" t="str">
        <f t="shared" si="15"/>
        <v/>
      </c>
      <c r="C1508" s="35" t="str">
        <f t="shared" si="16"/>
        <v/>
      </c>
      <c r="D1508" s="35" t="str">
        <f t="shared" si="17"/>
        <v/>
      </c>
      <c r="E1508" s="35" t="str">
        <f t="shared" si="18"/>
        <v/>
      </c>
      <c r="F1508" s="35" t="str">
        <f t="shared" si="19"/>
        <v/>
      </c>
      <c r="G1508" s="35" t="str">
        <f t="shared" si="20"/>
        <v/>
      </c>
      <c r="H1508" s="49"/>
      <c r="I1508" s="47" t="str">
        <f t="shared" si="21"/>
        <v/>
      </c>
      <c r="J1508" s="50"/>
      <c r="K1508" s="45" t="b">
        <v>0</v>
      </c>
      <c r="L1508" s="45"/>
      <c r="M1508" s="45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  <c r="AC1508" s="26"/>
      <c r="AD1508" s="26"/>
      <c r="AE1508" s="26"/>
      <c r="AF1508" s="26"/>
      <c r="AG1508" s="26"/>
      <c r="AH1508" s="26"/>
      <c r="AI1508" s="26"/>
      <c r="AJ1508" s="26"/>
      <c r="AK1508" s="2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</row>
    <row r="1509">
      <c r="A1509" s="16" t="str">
        <f t="shared" si="14"/>
        <v/>
      </c>
      <c r="B1509" s="16" t="str">
        <f t="shared" si="15"/>
        <v/>
      </c>
      <c r="C1509" s="35" t="str">
        <f t="shared" si="16"/>
        <v/>
      </c>
      <c r="D1509" s="35" t="str">
        <f t="shared" si="17"/>
        <v/>
      </c>
      <c r="E1509" s="35" t="str">
        <f t="shared" si="18"/>
        <v/>
      </c>
      <c r="F1509" s="35" t="str">
        <f t="shared" si="19"/>
        <v/>
      </c>
      <c r="G1509" s="35" t="str">
        <f t="shared" si="20"/>
        <v/>
      </c>
      <c r="H1509" s="49"/>
      <c r="I1509" s="47" t="str">
        <f t="shared" si="21"/>
        <v/>
      </c>
      <c r="J1509" s="50"/>
      <c r="K1509" s="45" t="b">
        <v>0</v>
      </c>
      <c r="L1509" s="45"/>
      <c r="M1509" s="45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  <c r="AB1509" s="26"/>
      <c r="AC1509" s="26"/>
      <c r="AD1509" s="26"/>
      <c r="AE1509" s="26"/>
      <c r="AF1509" s="26"/>
      <c r="AG1509" s="26"/>
      <c r="AH1509" s="26"/>
      <c r="AI1509" s="26"/>
      <c r="AJ1509" s="26"/>
      <c r="AK1509" s="2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46"/>
      <c r="BM1509" s="46"/>
      <c r="BN1509" s="46"/>
      <c r="BO1509" s="46"/>
    </row>
    <row r="1510">
      <c r="A1510" s="16" t="str">
        <f t="shared" si="14"/>
        <v/>
      </c>
      <c r="B1510" s="16" t="str">
        <f t="shared" si="15"/>
        <v/>
      </c>
      <c r="C1510" s="35" t="str">
        <f t="shared" si="16"/>
        <v/>
      </c>
      <c r="D1510" s="35" t="str">
        <f t="shared" si="17"/>
        <v/>
      </c>
      <c r="E1510" s="35" t="str">
        <f t="shared" si="18"/>
        <v/>
      </c>
      <c r="F1510" s="35" t="str">
        <f t="shared" si="19"/>
        <v/>
      </c>
      <c r="G1510" s="35" t="str">
        <f t="shared" si="20"/>
        <v/>
      </c>
      <c r="H1510" s="49"/>
      <c r="I1510" s="47" t="str">
        <f t="shared" si="21"/>
        <v/>
      </c>
      <c r="J1510" s="50"/>
      <c r="K1510" s="45" t="b">
        <v>0</v>
      </c>
      <c r="L1510" s="45"/>
      <c r="M1510" s="45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  <c r="AB1510" s="26"/>
      <c r="AC1510" s="26"/>
      <c r="AD1510" s="26"/>
      <c r="AE1510" s="26"/>
      <c r="AF1510" s="26"/>
      <c r="AG1510" s="26"/>
      <c r="AH1510" s="26"/>
      <c r="AI1510" s="26"/>
      <c r="AJ1510" s="26"/>
      <c r="AK1510" s="2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46"/>
      <c r="BM1510" s="46"/>
      <c r="BN1510" s="46"/>
      <c r="BO1510" s="46"/>
    </row>
    <row r="1511">
      <c r="A1511" s="16" t="str">
        <f t="shared" si="14"/>
        <v/>
      </c>
      <c r="B1511" s="16" t="str">
        <f t="shared" si="15"/>
        <v/>
      </c>
      <c r="C1511" s="35" t="str">
        <f t="shared" si="16"/>
        <v/>
      </c>
      <c r="D1511" s="35" t="str">
        <f t="shared" si="17"/>
        <v/>
      </c>
      <c r="E1511" s="35" t="str">
        <f t="shared" si="18"/>
        <v/>
      </c>
      <c r="F1511" s="35" t="str">
        <f t="shared" si="19"/>
        <v/>
      </c>
      <c r="G1511" s="35" t="str">
        <f t="shared" si="20"/>
        <v/>
      </c>
      <c r="H1511" s="49"/>
      <c r="I1511" s="47" t="str">
        <f t="shared" si="21"/>
        <v/>
      </c>
      <c r="J1511" s="50"/>
      <c r="K1511" s="45" t="b">
        <v>0</v>
      </c>
      <c r="L1511" s="45"/>
      <c r="M1511" s="45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46"/>
      <c r="BM1511" s="46"/>
      <c r="BN1511" s="46"/>
      <c r="BO1511" s="46"/>
    </row>
    <row r="1512">
      <c r="A1512" s="16" t="str">
        <f t="shared" si="14"/>
        <v/>
      </c>
      <c r="B1512" s="16" t="str">
        <f t="shared" si="15"/>
        <v/>
      </c>
      <c r="C1512" s="35" t="str">
        <f t="shared" si="16"/>
        <v/>
      </c>
      <c r="D1512" s="35" t="str">
        <f t="shared" si="17"/>
        <v/>
      </c>
      <c r="E1512" s="35" t="str">
        <f t="shared" si="18"/>
        <v/>
      </c>
      <c r="F1512" s="35" t="str">
        <f t="shared" si="19"/>
        <v/>
      </c>
      <c r="G1512" s="35" t="str">
        <f t="shared" si="20"/>
        <v/>
      </c>
      <c r="H1512" s="49"/>
      <c r="I1512" s="47" t="str">
        <f t="shared" si="21"/>
        <v/>
      </c>
      <c r="J1512" s="50"/>
      <c r="K1512" s="45" t="b">
        <v>0</v>
      </c>
      <c r="L1512" s="45"/>
      <c r="M1512" s="45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  <c r="AC1512" s="26"/>
      <c r="AD1512" s="26"/>
      <c r="AE1512" s="26"/>
      <c r="AF1512" s="26"/>
      <c r="AG1512" s="26"/>
      <c r="AH1512" s="26"/>
      <c r="AI1512" s="26"/>
      <c r="AJ1512" s="26"/>
      <c r="AK1512" s="2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46"/>
      <c r="BM1512" s="46"/>
      <c r="BN1512" s="46"/>
      <c r="BO1512" s="46"/>
    </row>
    <row r="1513">
      <c r="A1513" s="16" t="str">
        <f t="shared" si="14"/>
        <v/>
      </c>
      <c r="B1513" s="16" t="str">
        <f t="shared" si="15"/>
        <v/>
      </c>
      <c r="C1513" s="35" t="str">
        <f t="shared" si="16"/>
        <v/>
      </c>
      <c r="D1513" s="35" t="str">
        <f t="shared" si="17"/>
        <v/>
      </c>
      <c r="E1513" s="35" t="str">
        <f t="shared" si="18"/>
        <v/>
      </c>
      <c r="F1513" s="35" t="str">
        <f t="shared" si="19"/>
        <v/>
      </c>
      <c r="G1513" s="35" t="str">
        <f t="shared" si="20"/>
        <v/>
      </c>
      <c r="H1513" s="49"/>
      <c r="I1513" s="47" t="str">
        <f t="shared" si="21"/>
        <v/>
      </c>
      <c r="J1513" s="50"/>
      <c r="K1513" s="45" t="b">
        <v>0</v>
      </c>
      <c r="L1513" s="45"/>
      <c r="M1513" s="45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  <c r="AC1513" s="26"/>
      <c r="AD1513" s="26"/>
      <c r="AE1513" s="26"/>
      <c r="AF1513" s="26"/>
      <c r="AG1513" s="26"/>
      <c r="AH1513" s="26"/>
      <c r="AI1513" s="26"/>
      <c r="AJ1513" s="26"/>
      <c r="AK1513" s="2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46"/>
      <c r="BM1513" s="46"/>
      <c r="BN1513" s="46"/>
      <c r="BO1513" s="46"/>
    </row>
    <row r="1514">
      <c r="A1514" s="16" t="str">
        <f t="shared" si="14"/>
        <v/>
      </c>
      <c r="B1514" s="16" t="str">
        <f t="shared" si="15"/>
        <v/>
      </c>
      <c r="C1514" s="35" t="str">
        <f t="shared" si="16"/>
        <v/>
      </c>
      <c r="D1514" s="35" t="str">
        <f t="shared" si="17"/>
        <v/>
      </c>
      <c r="E1514" s="35" t="str">
        <f t="shared" si="18"/>
        <v/>
      </c>
      <c r="F1514" s="35" t="str">
        <f t="shared" si="19"/>
        <v/>
      </c>
      <c r="G1514" s="35" t="str">
        <f t="shared" si="20"/>
        <v/>
      </c>
      <c r="H1514" s="49"/>
      <c r="I1514" s="47" t="str">
        <f t="shared" si="21"/>
        <v/>
      </c>
      <c r="J1514" s="50"/>
      <c r="K1514" s="45" t="b">
        <v>0</v>
      </c>
      <c r="L1514" s="45"/>
      <c r="M1514" s="45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  <c r="AC1514" s="26"/>
      <c r="AD1514" s="26"/>
      <c r="AE1514" s="26"/>
      <c r="AF1514" s="26"/>
      <c r="AG1514" s="26"/>
      <c r="AH1514" s="26"/>
      <c r="AI1514" s="26"/>
      <c r="AJ1514" s="26"/>
      <c r="AK1514" s="2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46"/>
      <c r="BM1514" s="46"/>
      <c r="BN1514" s="46"/>
      <c r="BO1514" s="46"/>
    </row>
    <row r="1515">
      <c r="A1515" s="16" t="str">
        <f t="shared" si="14"/>
        <v/>
      </c>
      <c r="B1515" s="16" t="str">
        <f t="shared" si="15"/>
        <v/>
      </c>
      <c r="C1515" s="35" t="str">
        <f t="shared" si="16"/>
        <v/>
      </c>
      <c r="D1515" s="35" t="str">
        <f t="shared" si="17"/>
        <v/>
      </c>
      <c r="E1515" s="35" t="str">
        <f t="shared" si="18"/>
        <v/>
      </c>
      <c r="F1515" s="35" t="str">
        <f t="shared" si="19"/>
        <v/>
      </c>
      <c r="G1515" s="35" t="str">
        <f t="shared" si="20"/>
        <v/>
      </c>
      <c r="H1515" s="49"/>
      <c r="I1515" s="47" t="str">
        <f t="shared" si="21"/>
        <v/>
      </c>
      <c r="J1515" s="50"/>
      <c r="K1515" s="45" t="b">
        <v>0</v>
      </c>
      <c r="L1515" s="45"/>
      <c r="M1515" s="45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  <c r="AC1515" s="26"/>
      <c r="AD1515" s="26"/>
      <c r="AE1515" s="26"/>
      <c r="AF1515" s="26"/>
      <c r="AG1515" s="26"/>
      <c r="AH1515" s="26"/>
      <c r="AI1515" s="26"/>
      <c r="AJ1515" s="26"/>
      <c r="AK1515" s="2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46"/>
      <c r="BM1515" s="46"/>
      <c r="BN1515" s="46"/>
      <c r="BO1515" s="46"/>
    </row>
    <row r="1516">
      <c r="A1516" s="16" t="str">
        <f t="shared" si="14"/>
        <v/>
      </c>
      <c r="B1516" s="16" t="str">
        <f t="shared" si="15"/>
        <v/>
      </c>
      <c r="C1516" s="35" t="str">
        <f t="shared" si="16"/>
        <v/>
      </c>
      <c r="D1516" s="35" t="str">
        <f t="shared" si="17"/>
        <v/>
      </c>
      <c r="E1516" s="35" t="str">
        <f t="shared" si="18"/>
        <v/>
      </c>
      <c r="F1516" s="35" t="str">
        <f t="shared" si="19"/>
        <v/>
      </c>
      <c r="G1516" s="35" t="str">
        <f t="shared" si="20"/>
        <v/>
      </c>
      <c r="H1516" s="49"/>
      <c r="I1516" s="47" t="str">
        <f t="shared" si="21"/>
        <v/>
      </c>
      <c r="J1516" s="50"/>
      <c r="K1516" s="45" t="b">
        <v>0</v>
      </c>
      <c r="L1516" s="45"/>
      <c r="M1516" s="45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  <c r="AC1516" s="26"/>
      <c r="AD1516" s="26"/>
      <c r="AE1516" s="26"/>
      <c r="AF1516" s="26"/>
      <c r="AG1516" s="26"/>
      <c r="AH1516" s="26"/>
      <c r="AI1516" s="26"/>
      <c r="AJ1516" s="26"/>
      <c r="AK1516" s="2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46"/>
      <c r="BM1516" s="46"/>
      <c r="BN1516" s="46"/>
      <c r="BO1516" s="46"/>
    </row>
    <row r="1517">
      <c r="A1517" s="16" t="str">
        <f t="shared" si="14"/>
        <v/>
      </c>
      <c r="B1517" s="16" t="str">
        <f t="shared" si="15"/>
        <v/>
      </c>
      <c r="C1517" s="35" t="str">
        <f t="shared" si="16"/>
        <v/>
      </c>
      <c r="D1517" s="35" t="str">
        <f t="shared" si="17"/>
        <v/>
      </c>
      <c r="E1517" s="35" t="str">
        <f t="shared" si="18"/>
        <v/>
      </c>
      <c r="F1517" s="35" t="str">
        <f t="shared" si="19"/>
        <v/>
      </c>
      <c r="G1517" s="35" t="str">
        <f t="shared" si="20"/>
        <v/>
      </c>
      <c r="H1517" s="49"/>
      <c r="I1517" s="47" t="str">
        <f t="shared" si="21"/>
        <v/>
      </c>
      <c r="J1517" s="50"/>
      <c r="K1517" s="45" t="b">
        <v>0</v>
      </c>
      <c r="L1517" s="45"/>
      <c r="M1517" s="45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  <c r="AC1517" s="26"/>
      <c r="AD1517" s="26"/>
      <c r="AE1517" s="26"/>
      <c r="AF1517" s="26"/>
      <c r="AG1517" s="26"/>
      <c r="AH1517" s="26"/>
      <c r="AI1517" s="26"/>
      <c r="AJ1517" s="26"/>
      <c r="AK1517" s="2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46"/>
      <c r="BM1517" s="46"/>
      <c r="BN1517" s="46"/>
      <c r="BO1517" s="46"/>
    </row>
    <row r="1518">
      <c r="A1518" s="16" t="str">
        <f t="shared" si="14"/>
        <v/>
      </c>
      <c r="B1518" s="16" t="str">
        <f t="shared" si="15"/>
        <v/>
      </c>
      <c r="C1518" s="35" t="str">
        <f t="shared" si="16"/>
        <v/>
      </c>
      <c r="D1518" s="35" t="str">
        <f t="shared" si="17"/>
        <v/>
      </c>
      <c r="E1518" s="35" t="str">
        <f t="shared" si="18"/>
        <v/>
      </c>
      <c r="F1518" s="35" t="str">
        <f t="shared" si="19"/>
        <v/>
      </c>
      <c r="G1518" s="35" t="str">
        <f t="shared" si="20"/>
        <v/>
      </c>
      <c r="H1518" s="49"/>
      <c r="I1518" s="47" t="str">
        <f t="shared" si="21"/>
        <v/>
      </c>
      <c r="J1518" s="50"/>
      <c r="K1518" s="45" t="b">
        <v>0</v>
      </c>
      <c r="L1518" s="45"/>
      <c r="M1518" s="45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46"/>
      <c r="BM1518" s="46"/>
      <c r="BN1518" s="46"/>
      <c r="BO1518" s="46"/>
    </row>
    <row r="1519">
      <c r="A1519" s="16" t="str">
        <f t="shared" si="14"/>
        <v/>
      </c>
      <c r="B1519" s="16" t="str">
        <f t="shared" si="15"/>
        <v/>
      </c>
      <c r="C1519" s="35" t="str">
        <f t="shared" si="16"/>
        <v/>
      </c>
      <c r="D1519" s="35" t="str">
        <f t="shared" si="17"/>
        <v/>
      </c>
      <c r="E1519" s="35" t="str">
        <f t="shared" si="18"/>
        <v/>
      </c>
      <c r="F1519" s="35" t="str">
        <f t="shared" si="19"/>
        <v/>
      </c>
      <c r="G1519" s="35" t="str">
        <f t="shared" si="20"/>
        <v/>
      </c>
      <c r="H1519" s="49"/>
      <c r="I1519" s="47" t="str">
        <f t="shared" si="21"/>
        <v/>
      </c>
      <c r="J1519" s="50"/>
      <c r="K1519" s="45" t="b">
        <v>0</v>
      </c>
      <c r="L1519" s="45"/>
      <c r="M1519" s="45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  <c r="AC1519" s="26"/>
      <c r="AD1519" s="26"/>
      <c r="AE1519" s="26"/>
      <c r="AF1519" s="26"/>
      <c r="AG1519" s="26"/>
      <c r="AH1519" s="26"/>
      <c r="AI1519" s="26"/>
      <c r="AJ1519" s="26"/>
      <c r="AK1519" s="2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46"/>
      <c r="BM1519" s="46"/>
      <c r="BN1519" s="46"/>
      <c r="BO1519" s="46"/>
    </row>
    <row r="1520">
      <c r="A1520" s="16" t="str">
        <f t="shared" si="14"/>
        <v/>
      </c>
      <c r="B1520" s="16" t="str">
        <f t="shared" si="15"/>
        <v/>
      </c>
      <c r="C1520" s="35" t="str">
        <f t="shared" si="16"/>
        <v/>
      </c>
      <c r="D1520" s="35" t="str">
        <f t="shared" si="17"/>
        <v/>
      </c>
      <c r="E1520" s="35" t="str">
        <f t="shared" si="18"/>
        <v/>
      </c>
      <c r="F1520" s="35" t="str">
        <f t="shared" si="19"/>
        <v/>
      </c>
      <c r="G1520" s="35" t="str">
        <f t="shared" si="20"/>
        <v/>
      </c>
      <c r="H1520" s="49"/>
      <c r="I1520" s="47" t="str">
        <f t="shared" si="21"/>
        <v/>
      </c>
      <c r="J1520" s="50"/>
      <c r="K1520" s="45" t="b">
        <v>0</v>
      </c>
      <c r="L1520" s="45"/>
      <c r="M1520" s="45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  <c r="AB1520" s="26"/>
      <c r="AC1520" s="26"/>
      <c r="AD1520" s="26"/>
      <c r="AE1520" s="26"/>
      <c r="AF1520" s="26"/>
      <c r="AG1520" s="26"/>
      <c r="AH1520" s="26"/>
      <c r="AI1520" s="26"/>
      <c r="AJ1520" s="26"/>
      <c r="AK1520" s="2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46"/>
      <c r="BM1520" s="46"/>
      <c r="BN1520" s="46"/>
      <c r="BO1520" s="46"/>
    </row>
    <row r="1521">
      <c r="A1521" s="16" t="str">
        <f t="shared" si="14"/>
        <v/>
      </c>
      <c r="B1521" s="16" t="str">
        <f t="shared" si="15"/>
        <v/>
      </c>
      <c r="C1521" s="35" t="str">
        <f t="shared" si="16"/>
        <v/>
      </c>
      <c r="D1521" s="35" t="str">
        <f t="shared" si="17"/>
        <v/>
      </c>
      <c r="E1521" s="35" t="str">
        <f t="shared" si="18"/>
        <v/>
      </c>
      <c r="F1521" s="35" t="str">
        <f t="shared" si="19"/>
        <v/>
      </c>
      <c r="G1521" s="35" t="str">
        <f t="shared" si="20"/>
        <v/>
      </c>
      <c r="H1521" s="49"/>
      <c r="I1521" s="47" t="str">
        <f t="shared" si="21"/>
        <v/>
      </c>
      <c r="J1521" s="50"/>
      <c r="K1521" s="45" t="b">
        <v>0</v>
      </c>
      <c r="L1521" s="45"/>
      <c r="M1521" s="45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  <c r="AC1521" s="26"/>
      <c r="AD1521" s="26"/>
      <c r="AE1521" s="26"/>
      <c r="AF1521" s="26"/>
      <c r="AG1521" s="26"/>
      <c r="AH1521" s="26"/>
      <c r="AI1521" s="26"/>
      <c r="AJ1521" s="26"/>
      <c r="AK1521" s="2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46"/>
      <c r="BM1521" s="46"/>
      <c r="BN1521" s="46"/>
      <c r="BO1521" s="46"/>
    </row>
    <row r="1522">
      <c r="A1522" s="16" t="str">
        <f t="shared" si="14"/>
        <v/>
      </c>
      <c r="B1522" s="16" t="str">
        <f t="shared" si="15"/>
        <v/>
      </c>
      <c r="C1522" s="35" t="str">
        <f t="shared" si="16"/>
        <v/>
      </c>
      <c r="D1522" s="35" t="str">
        <f t="shared" si="17"/>
        <v/>
      </c>
      <c r="E1522" s="35" t="str">
        <f t="shared" si="18"/>
        <v/>
      </c>
      <c r="F1522" s="35" t="str">
        <f t="shared" si="19"/>
        <v/>
      </c>
      <c r="G1522" s="35" t="str">
        <f t="shared" si="20"/>
        <v/>
      </c>
      <c r="H1522" s="49"/>
      <c r="I1522" s="47" t="str">
        <f t="shared" si="21"/>
        <v/>
      </c>
      <c r="J1522" s="50"/>
      <c r="K1522" s="45" t="b">
        <v>0</v>
      </c>
      <c r="L1522" s="45"/>
      <c r="M1522" s="45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  <c r="AB1522" s="26"/>
      <c r="AC1522" s="26"/>
      <c r="AD1522" s="26"/>
      <c r="AE1522" s="26"/>
      <c r="AF1522" s="26"/>
      <c r="AG1522" s="26"/>
      <c r="AH1522" s="26"/>
      <c r="AI1522" s="26"/>
      <c r="AJ1522" s="26"/>
      <c r="AK1522" s="2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46"/>
      <c r="BM1522" s="46"/>
      <c r="BN1522" s="46"/>
      <c r="BO1522" s="46"/>
    </row>
    <row r="1523">
      <c r="A1523" s="16" t="str">
        <f t="shared" si="14"/>
        <v/>
      </c>
      <c r="B1523" s="16" t="str">
        <f t="shared" si="15"/>
        <v/>
      </c>
      <c r="C1523" s="35" t="str">
        <f t="shared" si="16"/>
        <v/>
      </c>
      <c r="D1523" s="35" t="str">
        <f t="shared" si="17"/>
        <v/>
      </c>
      <c r="E1523" s="35" t="str">
        <f t="shared" si="18"/>
        <v/>
      </c>
      <c r="F1523" s="35" t="str">
        <f t="shared" si="19"/>
        <v/>
      </c>
      <c r="G1523" s="35" t="str">
        <f t="shared" si="20"/>
        <v/>
      </c>
      <c r="H1523" s="49"/>
      <c r="I1523" s="47" t="str">
        <f t="shared" si="21"/>
        <v/>
      </c>
      <c r="J1523" s="50"/>
      <c r="K1523" s="45" t="b">
        <v>0</v>
      </c>
      <c r="L1523" s="45"/>
      <c r="M1523" s="45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6"/>
      <c r="AC1523" s="26"/>
      <c r="AD1523" s="26"/>
      <c r="AE1523" s="26"/>
      <c r="AF1523" s="26"/>
      <c r="AG1523" s="26"/>
      <c r="AH1523" s="26"/>
      <c r="AI1523" s="26"/>
      <c r="AJ1523" s="26"/>
      <c r="AK1523" s="2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  <c r="BJ1523" s="46"/>
      <c r="BK1523" s="46"/>
      <c r="BL1523" s="46"/>
      <c r="BM1523" s="46"/>
      <c r="BN1523" s="46"/>
      <c r="BO1523" s="46"/>
    </row>
    <row r="1524">
      <c r="A1524" s="16" t="str">
        <f t="shared" si="14"/>
        <v/>
      </c>
      <c r="B1524" s="16" t="str">
        <f t="shared" si="15"/>
        <v/>
      </c>
      <c r="C1524" s="35" t="str">
        <f t="shared" si="16"/>
        <v/>
      </c>
      <c r="D1524" s="35" t="str">
        <f t="shared" si="17"/>
        <v/>
      </c>
      <c r="E1524" s="35" t="str">
        <f t="shared" si="18"/>
        <v/>
      </c>
      <c r="F1524" s="35" t="str">
        <f t="shared" si="19"/>
        <v/>
      </c>
      <c r="G1524" s="35" t="str">
        <f t="shared" si="20"/>
        <v/>
      </c>
      <c r="H1524" s="49"/>
      <c r="I1524" s="47" t="str">
        <f t="shared" si="21"/>
        <v/>
      </c>
      <c r="J1524" s="50"/>
      <c r="K1524" s="45" t="b">
        <v>0</v>
      </c>
      <c r="L1524" s="45"/>
      <c r="M1524" s="45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  <c r="AB1524" s="26"/>
      <c r="AC1524" s="26"/>
      <c r="AD1524" s="26"/>
      <c r="AE1524" s="26"/>
      <c r="AF1524" s="26"/>
      <c r="AG1524" s="26"/>
      <c r="AH1524" s="26"/>
      <c r="AI1524" s="26"/>
      <c r="AJ1524" s="26"/>
      <c r="AK1524" s="2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46"/>
      <c r="BM1524" s="46"/>
      <c r="BN1524" s="46"/>
      <c r="BO1524" s="46"/>
    </row>
    <row r="1525">
      <c r="A1525" s="16" t="str">
        <f t="shared" si="14"/>
        <v/>
      </c>
      <c r="B1525" s="16" t="str">
        <f t="shared" si="15"/>
        <v/>
      </c>
      <c r="C1525" s="35" t="str">
        <f t="shared" si="16"/>
        <v/>
      </c>
      <c r="D1525" s="35" t="str">
        <f t="shared" si="17"/>
        <v/>
      </c>
      <c r="E1525" s="35" t="str">
        <f t="shared" si="18"/>
        <v/>
      </c>
      <c r="F1525" s="35" t="str">
        <f t="shared" si="19"/>
        <v/>
      </c>
      <c r="G1525" s="35" t="str">
        <f t="shared" si="20"/>
        <v/>
      </c>
      <c r="H1525" s="49"/>
      <c r="I1525" s="47" t="str">
        <f t="shared" si="21"/>
        <v/>
      </c>
      <c r="J1525" s="50"/>
      <c r="K1525" s="45" t="b">
        <v>0</v>
      </c>
      <c r="L1525" s="45"/>
      <c r="M1525" s="45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  <c r="AB1525" s="26"/>
      <c r="AC1525" s="26"/>
      <c r="AD1525" s="26"/>
      <c r="AE1525" s="26"/>
      <c r="AF1525" s="26"/>
      <c r="AG1525" s="26"/>
      <c r="AH1525" s="26"/>
      <c r="AI1525" s="26"/>
      <c r="AJ1525" s="26"/>
      <c r="AK1525" s="2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/>
      <c r="BK1525" s="46"/>
      <c r="BL1525" s="46"/>
      <c r="BM1525" s="46"/>
      <c r="BN1525" s="46"/>
      <c r="BO1525" s="46"/>
    </row>
    <row r="1526">
      <c r="A1526" s="16" t="str">
        <f t="shared" si="14"/>
        <v/>
      </c>
      <c r="B1526" s="16" t="str">
        <f t="shared" si="15"/>
        <v/>
      </c>
      <c r="C1526" s="35" t="str">
        <f t="shared" si="16"/>
        <v/>
      </c>
      <c r="D1526" s="35" t="str">
        <f t="shared" si="17"/>
        <v/>
      </c>
      <c r="E1526" s="35" t="str">
        <f t="shared" si="18"/>
        <v/>
      </c>
      <c r="F1526" s="35" t="str">
        <f t="shared" si="19"/>
        <v/>
      </c>
      <c r="G1526" s="35" t="str">
        <f t="shared" si="20"/>
        <v/>
      </c>
      <c r="H1526" s="49"/>
      <c r="I1526" s="47" t="str">
        <f t="shared" si="21"/>
        <v/>
      </c>
      <c r="J1526" s="50"/>
      <c r="K1526" s="45" t="b">
        <v>0</v>
      </c>
      <c r="L1526" s="45"/>
      <c r="M1526" s="45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  <c r="AB1526" s="26"/>
      <c r="AC1526" s="26"/>
      <c r="AD1526" s="26"/>
      <c r="AE1526" s="26"/>
      <c r="AF1526" s="26"/>
      <c r="AG1526" s="26"/>
      <c r="AH1526" s="26"/>
      <c r="AI1526" s="26"/>
      <c r="AJ1526" s="26"/>
      <c r="AK1526" s="2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  <c r="BJ1526" s="46"/>
      <c r="BK1526" s="46"/>
      <c r="BL1526" s="46"/>
      <c r="BM1526" s="46"/>
      <c r="BN1526" s="46"/>
      <c r="BO1526" s="46"/>
    </row>
    <row r="1527">
      <c r="A1527" s="16" t="str">
        <f t="shared" si="14"/>
        <v/>
      </c>
      <c r="B1527" s="16" t="str">
        <f t="shared" si="15"/>
        <v/>
      </c>
      <c r="C1527" s="35" t="str">
        <f t="shared" si="16"/>
        <v/>
      </c>
      <c r="D1527" s="35" t="str">
        <f t="shared" si="17"/>
        <v/>
      </c>
      <c r="E1527" s="35" t="str">
        <f t="shared" si="18"/>
        <v/>
      </c>
      <c r="F1527" s="35" t="str">
        <f t="shared" si="19"/>
        <v/>
      </c>
      <c r="G1527" s="35" t="str">
        <f t="shared" si="20"/>
        <v/>
      </c>
      <c r="H1527" s="49"/>
      <c r="I1527" s="47" t="str">
        <f t="shared" si="21"/>
        <v/>
      </c>
      <c r="J1527" s="50"/>
      <c r="K1527" s="45" t="b">
        <v>0</v>
      </c>
      <c r="L1527" s="45"/>
      <c r="M1527" s="45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  <c r="AC1527" s="26"/>
      <c r="AD1527" s="26"/>
      <c r="AE1527" s="26"/>
      <c r="AF1527" s="26"/>
      <c r="AG1527" s="26"/>
      <c r="AH1527" s="26"/>
      <c r="AI1527" s="26"/>
      <c r="AJ1527" s="26"/>
      <c r="AK1527" s="2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  <c r="BJ1527" s="46"/>
      <c r="BK1527" s="46"/>
      <c r="BL1527" s="46"/>
      <c r="BM1527" s="46"/>
      <c r="BN1527" s="46"/>
      <c r="BO1527" s="46"/>
    </row>
    <row r="1528">
      <c r="A1528" s="16" t="str">
        <f t="shared" si="14"/>
        <v/>
      </c>
      <c r="B1528" s="16" t="str">
        <f t="shared" si="15"/>
        <v/>
      </c>
      <c r="C1528" s="35" t="str">
        <f t="shared" si="16"/>
        <v/>
      </c>
      <c r="D1528" s="35" t="str">
        <f t="shared" si="17"/>
        <v/>
      </c>
      <c r="E1528" s="35" t="str">
        <f t="shared" si="18"/>
        <v/>
      </c>
      <c r="F1528" s="35" t="str">
        <f t="shared" si="19"/>
        <v/>
      </c>
      <c r="G1528" s="35" t="str">
        <f t="shared" si="20"/>
        <v/>
      </c>
      <c r="H1528" s="49"/>
      <c r="I1528" s="47" t="str">
        <f t="shared" si="21"/>
        <v/>
      </c>
      <c r="J1528" s="50"/>
      <c r="K1528" s="45" t="b">
        <v>0</v>
      </c>
      <c r="L1528" s="45"/>
      <c r="M1528" s="45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  <c r="AC1528" s="26"/>
      <c r="AD1528" s="26"/>
      <c r="AE1528" s="26"/>
      <c r="AF1528" s="26"/>
      <c r="AG1528" s="26"/>
      <c r="AH1528" s="26"/>
      <c r="AI1528" s="26"/>
      <c r="AJ1528" s="26"/>
      <c r="AK1528" s="2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  <c r="BJ1528" s="46"/>
      <c r="BK1528" s="46"/>
      <c r="BL1528" s="46"/>
      <c r="BM1528" s="46"/>
      <c r="BN1528" s="46"/>
      <c r="BO1528" s="46"/>
    </row>
    <row r="1529">
      <c r="A1529" s="16" t="str">
        <f t="shared" si="14"/>
        <v/>
      </c>
      <c r="B1529" s="16" t="str">
        <f t="shared" si="15"/>
        <v/>
      </c>
      <c r="C1529" s="35" t="str">
        <f t="shared" si="16"/>
        <v/>
      </c>
      <c r="D1529" s="35" t="str">
        <f t="shared" si="17"/>
        <v/>
      </c>
      <c r="E1529" s="35" t="str">
        <f t="shared" si="18"/>
        <v/>
      </c>
      <c r="F1529" s="35" t="str">
        <f t="shared" si="19"/>
        <v/>
      </c>
      <c r="G1529" s="35" t="str">
        <f t="shared" si="20"/>
        <v/>
      </c>
      <c r="H1529" s="49"/>
      <c r="I1529" s="47" t="str">
        <f t="shared" si="21"/>
        <v/>
      </c>
      <c r="J1529" s="50"/>
      <c r="K1529" s="45" t="b">
        <v>0</v>
      </c>
      <c r="L1529" s="45"/>
      <c r="M1529" s="45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  <c r="AC1529" s="26"/>
      <c r="AD1529" s="26"/>
      <c r="AE1529" s="26"/>
      <c r="AF1529" s="26"/>
      <c r="AG1529" s="26"/>
      <c r="AH1529" s="26"/>
      <c r="AI1529" s="26"/>
      <c r="AJ1529" s="26"/>
      <c r="AK1529" s="2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  <c r="BJ1529" s="46"/>
      <c r="BK1529" s="46"/>
      <c r="BL1529" s="46"/>
      <c r="BM1529" s="46"/>
      <c r="BN1529" s="46"/>
      <c r="BO1529" s="46"/>
    </row>
    <row r="1530">
      <c r="A1530" s="16" t="str">
        <f t="shared" si="14"/>
        <v/>
      </c>
      <c r="B1530" s="16" t="str">
        <f t="shared" si="15"/>
        <v/>
      </c>
      <c r="C1530" s="35" t="str">
        <f t="shared" si="16"/>
        <v/>
      </c>
      <c r="D1530" s="35" t="str">
        <f t="shared" si="17"/>
        <v/>
      </c>
      <c r="E1530" s="35" t="str">
        <f t="shared" si="18"/>
        <v/>
      </c>
      <c r="F1530" s="35" t="str">
        <f t="shared" si="19"/>
        <v/>
      </c>
      <c r="G1530" s="35" t="str">
        <f t="shared" si="20"/>
        <v/>
      </c>
      <c r="H1530" s="49"/>
      <c r="I1530" s="47" t="str">
        <f t="shared" si="21"/>
        <v/>
      </c>
      <c r="J1530" s="50"/>
      <c r="K1530" s="45" t="b">
        <v>0</v>
      </c>
      <c r="L1530" s="45"/>
      <c r="M1530" s="45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  <c r="AC1530" s="26"/>
      <c r="AD1530" s="26"/>
      <c r="AE1530" s="26"/>
      <c r="AF1530" s="26"/>
      <c r="AG1530" s="26"/>
      <c r="AH1530" s="26"/>
      <c r="AI1530" s="26"/>
      <c r="AJ1530" s="26"/>
      <c r="AK1530" s="2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  <c r="BJ1530" s="46"/>
      <c r="BK1530" s="46"/>
      <c r="BL1530" s="46"/>
      <c r="BM1530" s="46"/>
      <c r="BN1530" s="46"/>
      <c r="BO1530" s="46"/>
    </row>
    <row r="1531">
      <c r="A1531" s="16" t="str">
        <f t="shared" si="14"/>
        <v/>
      </c>
      <c r="B1531" s="16" t="str">
        <f t="shared" si="15"/>
        <v/>
      </c>
      <c r="C1531" s="35" t="str">
        <f t="shared" si="16"/>
        <v/>
      </c>
      <c r="D1531" s="35" t="str">
        <f t="shared" si="17"/>
        <v/>
      </c>
      <c r="E1531" s="35" t="str">
        <f t="shared" si="18"/>
        <v/>
      </c>
      <c r="F1531" s="35" t="str">
        <f t="shared" si="19"/>
        <v/>
      </c>
      <c r="G1531" s="35" t="str">
        <f t="shared" si="20"/>
        <v/>
      </c>
      <c r="H1531" s="49"/>
      <c r="I1531" s="47" t="str">
        <f t="shared" si="21"/>
        <v/>
      </c>
      <c r="J1531" s="50"/>
      <c r="K1531" s="45" t="b">
        <v>0</v>
      </c>
      <c r="L1531" s="45"/>
      <c r="M1531" s="45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  <c r="AC1531" s="26"/>
      <c r="AD1531" s="26"/>
      <c r="AE1531" s="26"/>
      <c r="AF1531" s="26"/>
      <c r="AG1531" s="26"/>
      <c r="AH1531" s="26"/>
      <c r="AI1531" s="26"/>
      <c r="AJ1531" s="26"/>
      <c r="AK1531" s="2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46"/>
      <c r="BM1531" s="46"/>
      <c r="BN1531" s="46"/>
      <c r="BO1531" s="46"/>
    </row>
    <row r="1532">
      <c r="A1532" s="16" t="str">
        <f t="shared" si="14"/>
        <v/>
      </c>
      <c r="B1532" s="16" t="str">
        <f t="shared" si="15"/>
        <v/>
      </c>
      <c r="C1532" s="35" t="str">
        <f t="shared" si="16"/>
        <v/>
      </c>
      <c r="D1532" s="35" t="str">
        <f t="shared" si="17"/>
        <v/>
      </c>
      <c r="E1532" s="35" t="str">
        <f t="shared" si="18"/>
        <v/>
      </c>
      <c r="F1532" s="35" t="str">
        <f t="shared" si="19"/>
        <v/>
      </c>
      <c r="G1532" s="35" t="str">
        <f t="shared" si="20"/>
        <v/>
      </c>
      <c r="H1532" s="49"/>
      <c r="I1532" s="47" t="str">
        <f t="shared" si="21"/>
        <v/>
      </c>
      <c r="J1532" s="50"/>
      <c r="K1532" s="45" t="b">
        <v>0</v>
      </c>
      <c r="L1532" s="45"/>
      <c r="M1532" s="45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  <c r="AC1532" s="26"/>
      <c r="AD1532" s="26"/>
      <c r="AE1532" s="26"/>
      <c r="AF1532" s="26"/>
      <c r="AG1532" s="26"/>
      <c r="AH1532" s="26"/>
      <c r="AI1532" s="26"/>
      <c r="AJ1532" s="26"/>
      <c r="AK1532" s="2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  <c r="BJ1532" s="46"/>
      <c r="BK1532" s="46"/>
      <c r="BL1532" s="46"/>
      <c r="BM1532" s="46"/>
      <c r="BN1532" s="46"/>
      <c r="BO1532" s="46"/>
    </row>
    <row r="1533">
      <c r="A1533" s="16" t="str">
        <f t="shared" si="14"/>
        <v/>
      </c>
      <c r="B1533" s="16" t="str">
        <f t="shared" si="15"/>
        <v/>
      </c>
      <c r="C1533" s="35" t="str">
        <f t="shared" si="16"/>
        <v/>
      </c>
      <c r="D1533" s="35" t="str">
        <f t="shared" si="17"/>
        <v/>
      </c>
      <c r="E1533" s="35" t="str">
        <f t="shared" si="18"/>
        <v/>
      </c>
      <c r="F1533" s="35" t="str">
        <f t="shared" si="19"/>
        <v/>
      </c>
      <c r="G1533" s="35" t="str">
        <f t="shared" si="20"/>
        <v/>
      </c>
      <c r="H1533" s="49"/>
      <c r="I1533" s="47" t="str">
        <f t="shared" si="21"/>
        <v/>
      </c>
      <c r="J1533" s="50"/>
      <c r="K1533" s="45" t="b">
        <v>0</v>
      </c>
      <c r="L1533" s="45"/>
      <c r="M1533" s="45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  <c r="AC1533" s="26"/>
      <c r="AD1533" s="26"/>
      <c r="AE1533" s="26"/>
      <c r="AF1533" s="26"/>
      <c r="AG1533" s="26"/>
      <c r="AH1533" s="26"/>
      <c r="AI1533" s="26"/>
      <c r="AJ1533" s="26"/>
      <c r="AK1533" s="2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46"/>
      <c r="BM1533" s="46"/>
      <c r="BN1533" s="46"/>
      <c r="BO1533" s="46"/>
    </row>
    <row r="1534">
      <c r="A1534" s="16" t="str">
        <f t="shared" si="14"/>
        <v/>
      </c>
      <c r="B1534" s="16" t="str">
        <f t="shared" si="15"/>
        <v/>
      </c>
      <c r="C1534" s="35" t="str">
        <f t="shared" si="16"/>
        <v/>
      </c>
      <c r="D1534" s="35" t="str">
        <f t="shared" si="17"/>
        <v/>
      </c>
      <c r="E1534" s="35" t="str">
        <f t="shared" si="18"/>
        <v/>
      </c>
      <c r="F1534" s="35" t="str">
        <f t="shared" si="19"/>
        <v/>
      </c>
      <c r="G1534" s="35" t="str">
        <f t="shared" si="20"/>
        <v/>
      </c>
      <c r="H1534" s="49"/>
      <c r="I1534" s="47" t="str">
        <f t="shared" si="21"/>
        <v/>
      </c>
      <c r="J1534" s="50"/>
      <c r="K1534" s="45" t="b">
        <v>0</v>
      </c>
      <c r="L1534" s="45"/>
      <c r="M1534" s="45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  <c r="AC1534" s="26"/>
      <c r="AD1534" s="26"/>
      <c r="AE1534" s="26"/>
      <c r="AF1534" s="26"/>
      <c r="AG1534" s="26"/>
      <c r="AH1534" s="26"/>
      <c r="AI1534" s="26"/>
      <c r="AJ1534" s="26"/>
      <c r="AK1534" s="2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  <c r="BJ1534" s="46"/>
      <c r="BK1534" s="46"/>
      <c r="BL1534" s="46"/>
      <c r="BM1534" s="46"/>
      <c r="BN1534" s="46"/>
      <c r="BO1534" s="46"/>
    </row>
    <row r="1535">
      <c r="A1535" s="16" t="str">
        <f t="shared" si="14"/>
        <v/>
      </c>
      <c r="B1535" s="16" t="str">
        <f t="shared" si="15"/>
        <v/>
      </c>
      <c r="C1535" s="35" t="str">
        <f t="shared" si="16"/>
        <v/>
      </c>
      <c r="D1535" s="35" t="str">
        <f t="shared" si="17"/>
        <v/>
      </c>
      <c r="E1535" s="35" t="str">
        <f t="shared" si="18"/>
        <v/>
      </c>
      <c r="F1535" s="35" t="str">
        <f t="shared" si="19"/>
        <v/>
      </c>
      <c r="G1535" s="35" t="str">
        <f t="shared" si="20"/>
        <v/>
      </c>
      <c r="H1535" s="49"/>
      <c r="I1535" s="47" t="str">
        <f t="shared" si="21"/>
        <v/>
      </c>
      <c r="J1535" s="50"/>
      <c r="K1535" s="45" t="b">
        <v>0</v>
      </c>
      <c r="L1535" s="45"/>
      <c r="M1535" s="45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  <c r="AC1535" s="26"/>
      <c r="AD1535" s="26"/>
      <c r="AE1535" s="26"/>
      <c r="AF1535" s="26"/>
      <c r="AG1535" s="26"/>
      <c r="AH1535" s="26"/>
      <c r="AI1535" s="26"/>
      <c r="AJ1535" s="26"/>
      <c r="AK1535" s="2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46"/>
      <c r="BM1535" s="46"/>
      <c r="BN1535" s="46"/>
      <c r="BO1535" s="46"/>
    </row>
    <row r="1536">
      <c r="A1536" s="16" t="str">
        <f t="shared" si="14"/>
        <v/>
      </c>
      <c r="B1536" s="16" t="str">
        <f t="shared" si="15"/>
        <v/>
      </c>
      <c r="C1536" s="35" t="str">
        <f t="shared" si="16"/>
        <v/>
      </c>
      <c r="D1536" s="35" t="str">
        <f t="shared" si="17"/>
        <v/>
      </c>
      <c r="E1536" s="35" t="str">
        <f t="shared" si="18"/>
        <v/>
      </c>
      <c r="F1536" s="35" t="str">
        <f t="shared" si="19"/>
        <v/>
      </c>
      <c r="G1536" s="35" t="str">
        <f t="shared" si="20"/>
        <v/>
      </c>
      <c r="H1536" s="49"/>
      <c r="I1536" s="47" t="str">
        <f t="shared" si="21"/>
        <v/>
      </c>
      <c r="J1536" s="50"/>
      <c r="K1536" s="45" t="b">
        <v>0</v>
      </c>
      <c r="L1536" s="45"/>
      <c r="M1536" s="45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  <c r="AC1536" s="26"/>
      <c r="AD1536" s="26"/>
      <c r="AE1536" s="26"/>
      <c r="AF1536" s="26"/>
      <c r="AG1536" s="26"/>
      <c r="AH1536" s="26"/>
      <c r="AI1536" s="26"/>
      <c r="AJ1536" s="26"/>
      <c r="AK1536" s="2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  <c r="BJ1536" s="46"/>
      <c r="BK1536" s="46"/>
      <c r="BL1536" s="46"/>
      <c r="BM1536" s="46"/>
      <c r="BN1536" s="46"/>
      <c r="BO1536" s="46"/>
    </row>
    <row r="1537">
      <c r="A1537" s="16" t="str">
        <f t="shared" si="14"/>
        <v/>
      </c>
      <c r="B1537" s="16" t="str">
        <f t="shared" si="15"/>
        <v/>
      </c>
      <c r="C1537" s="35" t="str">
        <f t="shared" si="16"/>
        <v/>
      </c>
      <c r="D1537" s="35" t="str">
        <f t="shared" si="17"/>
        <v/>
      </c>
      <c r="E1537" s="35" t="str">
        <f t="shared" si="18"/>
        <v/>
      </c>
      <c r="F1537" s="35" t="str">
        <f t="shared" si="19"/>
        <v/>
      </c>
      <c r="G1537" s="35" t="str">
        <f t="shared" si="20"/>
        <v/>
      </c>
      <c r="H1537" s="49"/>
      <c r="I1537" s="47" t="str">
        <f t="shared" si="21"/>
        <v/>
      </c>
      <c r="J1537" s="50"/>
      <c r="K1537" s="45" t="b">
        <v>0</v>
      </c>
      <c r="L1537" s="45"/>
      <c r="M1537" s="45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  <c r="AB1537" s="26"/>
      <c r="AC1537" s="26"/>
      <c r="AD1537" s="26"/>
      <c r="AE1537" s="26"/>
      <c r="AF1537" s="26"/>
      <c r="AG1537" s="26"/>
      <c r="AH1537" s="26"/>
      <c r="AI1537" s="26"/>
      <c r="AJ1537" s="26"/>
      <c r="AK1537" s="2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/>
      <c r="BK1537" s="46"/>
      <c r="BL1537" s="46"/>
      <c r="BM1537" s="46"/>
      <c r="BN1537" s="46"/>
      <c r="BO1537" s="46"/>
    </row>
    <row r="1538">
      <c r="A1538" s="16" t="str">
        <f t="shared" si="14"/>
        <v/>
      </c>
      <c r="B1538" s="16" t="str">
        <f t="shared" si="15"/>
        <v/>
      </c>
      <c r="C1538" s="35" t="str">
        <f t="shared" si="16"/>
        <v/>
      </c>
      <c r="D1538" s="35" t="str">
        <f t="shared" si="17"/>
        <v/>
      </c>
      <c r="E1538" s="35" t="str">
        <f t="shared" si="18"/>
        <v/>
      </c>
      <c r="F1538" s="35" t="str">
        <f t="shared" si="19"/>
        <v/>
      </c>
      <c r="G1538" s="35" t="str">
        <f t="shared" si="20"/>
        <v/>
      </c>
      <c r="H1538" s="49"/>
      <c r="I1538" s="47" t="str">
        <f t="shared" si="21"/>
        <v/>
      </c>
      <c r="J1538" s="50"/>
      <c r="K1538" s="45" t="b">
        <v>0</v>
      </c>
      <c r="L1538" s="45"/>
      <c r="M1538" s="45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  <c r="AC1538" s="26"/>
      <c r="AD1538" s="26"/>
      <c r="AE1538" s="26"/>
      <c r="AF1538" s="26"/>
      <c r="AG1538" s="26"/>
      <c r="AH1538" s="26"/>
      <c r="AI1538" s="26"/>
      <c r="AJ1538" s="26"/>
      <c r="AK1538" s="2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46"/>
      <c r="BM1538" s="46"/>
      <c r="BN1538" s="46"/>
      <c r="BO1538" s="46"/>
    </row>
    <row r="1539">
      <c r="A1539" s="16" t="str">
        <f t="shared" si="14"/>
        <v/>
      </c>
      <c r="B1539" s="16" t="str">
        <f t="shared" si="15"/>
        <v/>
      </c>
      <c r="C1539" s="35" t="str">
        <f t="shared" si="16"/>
        <v/>
      </c>
      <c r="D1539" s="35" t="str">
        <f t="shared" si="17"/>
        <v/>
      </c>
      <c r="E1539" s="35" t="str">
        <f t="shared" si="18"/>
        <v/>
      </c>
      <c r="F1539" s="35" t="str">
        <f t="shared" si="19"/>
        <v/>
      </c>
      <c r="G1539" s="35" t="str">
        <f t="shared" si="20"/>
        <v/>
      </c>
      <c r="H1539" s="49"/>
      <c r="I1539" s="47" t="str">
        <f t="shared" si="21"/>
        <v/>
      </c>
      <c r="J1539" s="50"/>
      <c r="K1539" s="45" t="b">
        <v>0</v>
      </c>
      <c r="L1539" s="45"/>
      <c r="M1539" s="45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  <c r="AB1539" s="26"/>
      <c r="AC1539" s="26"/>
      <c r="AD1539" s="26"/>
      <c r="AE1539" s="26"/>
      <c r="AF1539" s="26"/>
      <c r="AG1539" s="26"/>
      <c r="AH1539" s="26"/>
      <c r="AI1539" s="26"/>
      <c r="AJ1539" s="26"/>
      <c r="AK1539" s="2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46"/>
      <c r="BM1539" s="46"/>
      <c r="BN1539" s="46"/>
      <c r="BO1539" s="46"/>
    </row>
    <row r="1540">
      <c r="A1540" s="16" t="str">
        <f t="shared" si="14"/>
        <v/>
      </c>
      <c r="B1540" s="16" t="str">
        <f t="shared" si="15"/>
        <v/>
      </c>
      <c r="C1540" s="35" t="str">
        <f t="shared" si="16"/>
        <v/>
      </c>
      <c r="D1540" s="35" t="str">
        <f t="shared" si="17"/>
        <v/>
      </c>
      <c r="E1540" s="35" t="str">
        <f t="shared" si="18"/>
        <v/>
      </c>
      <c r="F1540" s="35" t="str">
        <f t="shared" si="19"/>
        <v/>
      </c>
      <c r="G1540" s="35" t="str">
        <f t="shared" si="20"/>
        <v/>
      </c>
      <c r="H1540" s="49"/>
      <c r="I1540" s="47" t="str">
        <f t="shared" si="21"/>
        <v/>
      </c>
      <c r="J1540" s="50"/>
      <c r="K1540" s="45" t="b">
        <v>0</v>
      </c>
      <c r="L1540" s="45"/>
      <c r="M1540" s="45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  <c r="AC1540" s="26"/>
      <c r="AD1540" s="26"/>
      <c r="AE1540" s="26"/>
      <c r="AF1540" s="26"/>
      <c r="AG1540" s="26"/>
      <c r="AH1540" s="26"/>
      <c r="AI1540" s="26"/>
      <c r="AJ1540" s="26"/>
      <c r="AK1540" s="2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46"/>
      <c r="BM1540" s="46"/>
      <c r="BN1540" s="46"/>
      <c r="BO1540" s="46"/>
    </row>
    <row r="1541">
      <c r="A1541" s="16" t="str">
        <f t="shared" si="14"/>
        <v/>
      </c>
      <c r="B1541" s="16" t="str">
        <f t="shared" si="15"/>
        <v/>
      </c>
      <c r="C1541" s="35" t="str">
        <f t="shared" si="16"/>
        <v/>
      </c>
      <c r="D1541" s="35" t="str">
        <f t="shared" si="17"/>
        <v/>
      </c>
      <c r="E1541" s="35" t="str">
        <f t="shared" si="18"/>
        <v/>
      </c>
      <c r="F1541" s="35" t="str">
        <f t="shared" si="19"/>
        <v/>
      </c>
      <c r="G1541" s="35" t="str">
        <f t="shared" si="20"/>
        <v/>
      </c>
      <c r="H1541" s="49"/>
      <c r="I1541" s="47" t="str">
        <f t="shared" si="21"/>
        <v/>
      </c>
      <c r="J1541" s="50"/>
      <c r="K1541" s="45" t="b">
        <v>0</v>
      </c>
      <c r="L1541" s="45"/>
      <c r="M1541" s="45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  <c r="AC1541" s="26"/>
      <c r="AD1541" s="26"/>
      <c r="AE1541" s="26"/>
      <c r="AF1541" s="26"/>
      <c r="AG1541" s="26"/>
      <c r="AH1541" s="26"/>
      <c r="AI1541" s="26"/>
      <c r="AJ1541" s="26"/>
      <c r="AK1541" s="2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46"/>
      <c r="BM1541" s="46"/>
      <c r="BN1541" s="46"/>
      <c r="BO1541" s="46"/>
    </row>
    <row r="1542">
      <c r="A1542" s="16" t="str">
        <f t="shared" si="14"/>
        <v/>
      </c>
      <c r="B1542" s="16" t="str">
        <f t="shared" si="15"/>
        <v/>
      </c>
      <c r="C1542" s="35" t="str">
        <f t="shared" si="16"/>
        <v/>
      </c>
      <c r="D1542" s="35" t="str">
        <f t="shared" si="17"/>
        <v/>
      </c>
      <c r="E1542" s="35" t="str">
        <f t="shared" si="18"/>
        <v/>
      </c>
      <c r="F1542" s="35" t="str">
        <f t="shared" si="19"/>
        <v/>
      </c>
      <c r="G1542" s="35" t="str">
        <f t="shared" si="20"/>
        <v/>
      </c>
      <c r="H1542" s="49"/>
      <c r="I1542" s="47" t="str">
        <f t="shared" si="21"/>
        <v/>
      </c>
      <c r="J1542" s="50"/>
      <c r="K1542" s="45" t="b">
        <v>0</v>
      </c>
      <c r="L1542" s="45"/>
      <c r="M1542" s="45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  <c r="AC1542" s="26"/>
      <c r="AD1542" s="26"/>
      <c r="AE1542" s="26"/>
      <c r="AF1542" s="26"/>
      <c r="AG1542" s="26"/>
      <c r="AH1542" s="26"/>
      <c r="AI1542" s="26"/>
      <c r="AJ1542" s="26"/>
      <c r="AK1542" s="2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/>
    </row>
    <row r="1543">
      <c r="A1543" s="16" t="str">
        <f t="shared" si="14"/>
        <v/>
      </c>
      <c r="B1543" s="16" t="str">
        <f t="shared" si="15"/>
        <v/>
      </c>
      <c r="C1543" s="35" t="str">
        <f t="shared" si="16"/>
        <v/>
      </c>
      <c r="D1543" s="35" t="str">
        <f t="shared" si="17"/>
        <v/>
      </c>
      <c r="E1543" s="35" t="str">
        <f t="shared" si="18"/>
        <v/>
      </c>
      <c r="F1543" s="35" t="str">
        <f t="shared" si="19"/>
        <v/>
      </c>
      <c r="G1543" s="35" t="str">
        <f t="shared" si="20"/>
        <v/>
      </c>
      <c r="H1543" s="49"/>
      <c r="I1543" s="47" t="str">
        <f t="shared" si="21"/>
        <v/>
      </c>
      <c r="J1543" s="50"/>
      <c r="K1543" s="45" t="b">
        <v>0</v>
      </c>
      <c r="L1543" s="45"/>
      <c r="M1543" s="45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  <c r="AC1543" s="26"/>
      <c r="AD1543" s="26"/>
      <c r="AE1543" s="26"/>
      <c r="AF1543" s="26"/>
      <c r="AG1543" s="26"/>
      <c r="AH1543" s="26"/>
      <c r="AI1543" s="26"/>
      <c r="AJ1543" s="26"/>
      <c r="AK1543" s="2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46"/>
      <c r="BM1543" s="46"/>
      <c r="BN1543" s="46"/>
      <c r="BO1543" s="46"/>
    </row>
    <row r="1544">
      <c r="A1544" s="16" t="str">
        <f t="shared" si="14"/>
        <v/>
      </c>
      <c r="B1544" s="16" t="str">
        <f t="shared" si="15"/>
        <v/>
      </c>
      <c r="C1544" s="35" t="str">
        <f t="shared" si="16"/>
        <v/>
      </c>
      <c r="D1544" s="35" t="str">
        <f t="shared" si="17"/>
        <v/>
      </c>
      <c r="E1544" s="35" t="str">
        <f t="shared" si="18"/>
        <v/>
      </c>
      <c r="F1544" s="35" t="str">
        <f t="shared" si="19"/>
        <v/>
      </c>
      <c r="G1544" s="35" t="str">
        <f t="shared" si="20"/>
        <v/>
      </c>
      <c r="H1544" s="49"/>
      <c r="I1544" s="47" t="str">
        <f t="shared" si="21"/>
        <v/>
      </c>
      <c r="J1544" s="50"/>
      <c r="K1544" s="45" t="b">
        <v>0</v>
      </c>
      <c r="L1544" s="45"/>
      <c r="M1544" s="45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  <c r="AC1544" s="26"/>
      <c r="AD1544" s="26"/>
      <c r="AE1544" s="26"/>
      <c r="AF1544" s="26"/>
      <c r="AG1544" s="26"/>
      <c r="AH1544" s="26"/>
      <c r="AI1544" s="26"/>
      <c r="AJ1544" s="26"/>
      <c r="AK1544" s="2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46"/>
      <c r="BM1544" s="46"/>
      <c r="BN1544" s="46"/>
      <c r="BO1544" s="46"/>
    </row>
    <row r="1545">
      <c r="A1545" s="16" t="str">
        <f t="shared" si="14"/>
        <v/>
      </c>
      <c r="B1545" s="16" t="str">
        <f t="shared" si="15"/>
        <v/>
      </c>
      <c r="C1545" s="35" t="str">
        <f t="shared" si="16"/>
        <v/>
      </c>
      <c r="D1545" s="35" t="str">
        <f t="shared" si="17"/>
        <v/>
      </c>
      <c r="E1545" s="35" t="str">
        <f t="shared" si="18"/>
        <v/>
      </c>
      <c r="F1545" s="35" t="str">
        <f t="shared" si="19"/>
        <v/>
      </c>
      <c r="G1545" s="35" t="str">
        <f t="shared" si="20"/>
        <v/>
      </c>
      <c r="H1545" s="49"/>
      <c r="I1545" s="47" t="str">
        <f t="shared" si="21"/>
        <v/>
      </c>
      <c r="J1545" s="50"/>
      <c r="K1545" s="45" t="b">
        <v>0</v>
      </c>
      <c r="L1545" s="45"/>
      <c r="M1545" s="45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  <c r="AC1545" s="26"/>
      <c r="AD1545" s="26"/>
      <c r="AE1545" s="26"/>
      <c r="AF1545" s="26"/>
      <c r="AG1545" s="26"/>
      <c r="AH1545" s="26"/>
      <c r="AI1545" s="26"/>
      <c r="AJ1545" s="26"/>
      <c r="AK1545" s="2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46"/>
      <c r="BM1545" s="46"/>
      <c r="BN1545" s="46"/>
      <c r="BO1545" s="46"/>
    </row>
    <row r="1546">
      <c r="A1546" s="16" t="str">
        <f t="shared" si="14"/>
        <v/>
      </c>
      <c r="B1546" s="16" t="str">
        <f t="shared" si="15"/>
        <v/>
      </c>
      <c r="C1546" s="35" t="str">
        <f t="shared" si="16"/>
        <v/>
      </c>
      <c r="D1546" s="35" t="str">
        <f t="shared" si="17"/>
        <v/>
      </c>
      <c r="E1546" s="35" t="str">
        <f t="shared" si="18"/>
        <v/>
      </c>
      <c r="F1546" s="35" t="str">
        <f t="shared" si="19"/>
        <v/>
      </c>
      <c r="G1546" s="35" t="str">
        <f t="shared" si="20"/>
        <v/>
      </c>
      <c r="H1546" s="49"/>
      <c r="I1546" s="47" t="str">
        <f t="shared" si="21"/>
        <v/>
      </c>
      <c r="J1546" s="50"/>
      <c r="K1546" s="45" t="b">
        <v>0</v>
      </c>
      <c r="L1546" s="45"/>
      <c r="M1546" s="45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  <c r="AC1546" s="26"/>
      <c r="AD1546" s="26"/>
      <c r="AE1546" s="26"/>
      <c r="AF1546" s="26"/>
      <c r="AG1546" s="26"/>
      <c r="AH1546" s="26"/>
      <c r="AI1546" s="26"/>
      <c r="AJ1546" s="26"/>
      <c r="AK1546" s="2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46"/>
      <c r="BM1546" s="46"/>
      <c r="BN1546" s="46"/>
      <c r="BO1546" s="46"/>
    </row>
    <row r="1547">
      <c r="A1547" s="16" t="str">
        <f t="shared" si="14"/>
        <v/>
      </c>
      <c r="B1547" s="16" t="str">
        <f t="shared" si="15"/>
        <v/>
      </c>
      <c r="C1547" s="35" t="str">
        <f t="shared" si="16"/>
        <v/>
      </c>
      <c r="D1547" s="35" t="str">
        <f t="shared" si="17"/>
        <v/>
      </c>
      <c r="E1547" s="35" t="str">
        <f t="shared" si="18"/>
        <v/>
      </c>
      <c r="F1547" s="35" t="str">
        <f t="shared" si="19"/>
        <v/>
      </c>
      <c r="G1547" s="35" t="str">
        <f t="shared" si="20"/>
        <v/>
      </c>
      <c r="H1547" s="49"/>
      <c r="I1547" s="47" t="str">
        <f t="shared" si="21"/>
        <v/>
      </c>
      <c r="J1547" s="50"/>
      <c r="K1547" s="45" t="b">
        <v>0</v>
      </c>
      <c r="L1547" s="45"/>
      <c r="M1547" s="45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  <c r="AC1547" s="26"/>
      <c r="AD1547" s="26"/>
      <c r="AE1547" s="26"/>
      <c r="AF1547" s="26"/>
      <c r="AG1547" s="26"/>
      <c r="AH1547" s="26"/>
      <c r="AI1547" s="26"/>
      <c r="AJ1547" s="26"/>
      <c r="AK1547" s="2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46"/>
      <c r="BM1547" s="46"/>
      <c r="BN1547" s="46"/>
      <c r="BO1547" s="46"/>
    </row>
    <row r="1548">
      <c r="A1548" s="16" t="str">
        <f t="shared" si="14"/>
        <v/>
      </c>
      <c r="B1548" s="16" t="str">
        <f t="shared" si="15"/>
        <v/>
      </c>
      <c r="C1548" s="35" t="str">
        <f t="shared" si="16"/>
        <v/>
      </c>
      <c r="D1548" s="35" t="str">
        <f t="shared" si="17"/>
        <v/>
      </c>
      <c r="E1548" s="35" t="str">
        <f t="shared" si="18"/>
        <v/>
      </c>
      <c r="F1548" s="35" t="str">
        <f t="shared" si="19"/>
        <v/>
      </c>
      <c r="G1548" s="35" t="str">
        <f t="shared" si="20"/>
        <v/>
      </c>
      <c r="H1548" s="49"/>
      <c r="I1548" s="47" t="str">
        <f t="shared" si="21"/>
        <v/>
      </c>
      <c r="J1548" s="50"/>
      <c r="K1548" s="45" t="b">
        <v>0</v>
      </c>
      <c r="L1548" s="45"/>
      <c r="M1548" s="45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  <c r="AB1548" s="26"/>
      <c r="AC1548" s="26"/>
      <c r="AD1548" s="26"/>
      <c r="AE1548" s="26"/>
      <c r="AF1548" s="26"/>
      <c r="AG1548" s="26"/>
      <c r="AH1548" s="26"/>
      <c r="AI1548" s="26"/>
      <c r="AJ1548" s="26"/>
      <c r="AK1548" s="2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46"/>
      <c r="BM1548" s="46"/>
      <c r="BN1548" s="46"/>
      <c r="BO1548" s="46"/>
    </row>
    <row r="1549">
      <c r="A1549" s="16" t="str">
        <f t="shared" si="14"/>
        <v/>
      </c>
      <c r="B1549" s="16" t="str">
        <f t="shared" si="15"/>
        <v/>
      </c>
      <c r="C1549" s="35" t="str">
        <f t="shared" si="16"/>
        <v/>
      </c>
      <c r="D1549" s="35" t="str">
        <f t="shared" si="17"/>
        <v/>
      </c>
      <c r="E1549" s="35" t="str">
        <f t="shared" si="18"/>
        <v/>
      </c>
      <c r="F1549" s="35" t="str">
        <f t="shared" si="19"/>
        <v/>
      </c>
      <c r="G1549" s="35" t="str">
        <f t="shared" si="20"/>
        <v/>
      </c>
      <c r="H1549" s="49"/>
      <c r="I1549" s="47" t="str">
        <f t="shared" si="21"/>
        <v/>
      </c>
      <c r="J1549" s="50"/>
      <c r="K1549" s="45" t="b">
        <v>0</v>
      </c>
      <c r="L1549" s="45"/>
      <c r="M1549" s="45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  <c r="AB1549" s="26"/>
      <c r="AC1549" s="26"/>
      <c r="AD1549" s="26"/>
      <c r="AE1549" s="26"/>
      <c r="AF1549" s="26"/>
      <c r="AG1549" s="26"/>
      <c r="AH1549" s="26"/>
      <c r="AI1549" s="26"/>
      <c r="AJ1549" s="26"/>
      <c r="AK1549" s="2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46"/>
      <c r="BM1549" s="46"/>
      <c r="BN1549" s="46"/>
      <c r="BO1549" s="46"/>
    </row>
    <row r="1550">
      <c r="A1550" s="16" t="str">
        <f t="shared" si="14"/>
        <v/>
      </c>
      <c r="B1550" s="16" t="str">
        <f t="shared" si="15"/>
        <v/>
      </c>
      <c r="C1550" s="35" t="str">
        <f t="shared" si="16"/>
        <v/>
      </c>
      <c r="D1550" s="35" t="str">
        <f t="shared" si="17"/>
        <v/>
      </c>
      <c r="E1550" s="35" t="str">
        <f t="shared" si="18"/>
        <v/>
      </c>
      <c r="F1550" s="35" t="str">
        <f t="shared" si="19"/>
        <v/>
      </c>
      <c r="G1550" s="35" t="str">
        <f t="shared" si="20"/>
        <v/>
      </c>
      <c r="H1550" s="49"/>
      <c r="I1550" s="47" t="str">
        <f t="shared" si="21"/>
        <v/>
      </c>
      <c r="J1550" s="50"/>
      <c r="K1550" s="45" t="b">
        <v>0</v>
      </c>
      <c r="L1550" s="45"/>
      <c r="M1550" s="45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  <c r="AB1550" s="26"/>
      <c r="AC1550" s="26"/>
      <c r="AD1550" s="26"/>
      <c r="AE1550" s="26"/>
      <c r="AF1550" s="26"/>
      <c r="AG1550" s="26"/>
      <c r="AH1550" s="26"/>
      <c r="AI1550" s="26"/>
      <c r="AJ1550" s="26"/>
      <c r="AK1550" s="2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46"/>
      <c r="BM1550" s="46"/>
      <c r="BN1550" s="46"/>
      <c r="BO1550" s="46"/>
    </row>
    <row r="1551">
      <c r="A1551" s="16" t="str">
        <f t="shared" si="14"/>
        <v/>
      </c>
      <c r="B1551" s="16" t="str">
        <f t="shared" si="15"/>
        <v/>
      </c>
      <c r="C1551" s="35" t="str">
        <f t="shared" si="16"/>
        <v/>
      </c>
      <c r="D1551" s="35" t="str">
        <f t="shared" si="17"/>
        <v/>
      </c>
      <c r="E1551" s="35" t="str">
        <f t="shared" si="18"/>
        <v/>
      </c>
      <c r="F1551" s="35" t="str">
        <f t="shared" si="19"/>
        <v/>
      </c>
      <c r="G1551" s="35" t="str">
        <f t="shared" si="20"/>
        <v/>
      </c>
      <c r="H1551" s="49"/>
      <c r="I1551" s="47" t="str">
        <f t="shared" si="21"/>
        <v/>
      </c>
      <c r="J1551" s="50"/>
      <c r="K1551" s="45" t="b">
        <v>0</v>
      </c>
      <c r="L1551" s="45"/>
      <c r="M1551" s="45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  <c r="AB1551" s="26"/>
      <c r="AC1551" s="26"/>
      <c r="AD1551" s="26"/>
      <c r="AE1551" s="26"/>
      <c r="AF1551" s="26"/>
      <c r="AG1551" s="26"/>
      <c r="AH1551" s="26"/>
      <c r="AI1551" s="26"/>
      <c r="AJ1551" s="26"/>
      <c r="AK1551" s="2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46"/>
      <c r="BM1551" s="46"/>
      <c r="BN1551" s="46"/>
      <c r="BO1551" s="46"/>
    </row>
    <row r="1552">
      <c r="A1552" s="16" t="str">
        <f t="shared" si="14"/>
        <v/>
      </c>
      <c r="B1552" s="16" t="str">
        <f t="shared" si="15"/>
        <v/>
      </c>
      <c r="C1552" s="35" t="str">
        <f t="shared" si="16"/>
        <v/>
      </c>
      <c r="D1552" s="35" t="str">
        <f t="shared" si="17"/>
        <v/>
      </c>
      <c r="E1552" s="35" t="str">
        <f t="shared" si="18"/>
        <v/>
      </c>
      <c r="F1552" s="35" t="str">
        <f t="shared" si="19"/>
        <v/>
      </c>
      <c r="G1552" s="35" t="str">
        <f t="shared" si="20"/>
        <v/>
      </c>
      <c r="H1552" s="49"/>
      <c r="I1552" s="47" t="str">
        <f t="shared" si="21"/>
        <v/>
      </c>
      <c r="J1552" s="50"/>
      <c r="K1552" s="45" t="b">
        <v>0</v>
      </c>
      <c r="L1552" s="45"/>
      <c r="M1552" s="45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  <c r="AB1552" s="26"/>
      <c r="AC1552" s="26"/>
      <c r="AD1552" s="26"/>
      <c r="AE1552" s="26"/>
      <c r="AF1552" s="26"/>
      <c r="AG1552" s="26"/>
      <c r="AH1552" s="26"/>
      <c r="AI1552" s="26"/>
      <c r="AJ1552" s="26"/>
      <c r="AK1552" s="2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46"/>
      <c r="BM1552" s="46"/>
      <c r="BN1552" s="46"/>
      <c r="BO1552" s="46"/>
    </row>
    <row r="1553">
      <c r="A1553" s="16" t="str">
        <f t="shared" si="14"/>
        <v/>
      </c>
      <c r="B1553" s="16" t="str">
        <f t="shared" si="15"/>
        <v/>
      </c>
      <c r="C1553" s="35" t="str">
        <f t="shared" si="16"/>
        <v/>
      </c>
      <c r="D1553" s="35" t="str">
        <f t="shared" si="17"/>
        <v/>
      </c>
      <c r="E1553" s="35" t="str">
        <f t="shared" si="18"/>
        <v/>
      </c>
      <c r="F1553" s="35" t="str">
        <f t="shared" si="19"/>
        <v/>
      </c>
      <c r="G1553" s="35" t="str">
        <f t="shared" si="20"/>
        <v/>
      </c>
      <c r="H1553" s="49"/>
      <c r="I1553" s="47" t="str">
        <f t="shared" si="21"/>
        <v/>
      </c>
      <c r="J1553" s="50"/>
      <c r="K1553" s="45" t="b">
        <v>0</v>
      </c>
      <c r="L1553" s="45"/>
      <c r="M1553" s="45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  <c r="AC1553" s="26"/>
      <c r="AD1553" s="26"/>
      <c r="AE1553" s="26"/>
      <c r="AF1553" s="26"/>
      <c r="AG1553" s="26"/>
      <c r="AH1553" s="26"/>
      <c r="AI1553" s="26"/>
      <c r="AJ1553" s="26"/>
      <c r="AK1553" s="2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46"/>
      <c r="BM1553" s="46"/>
      <c r="BN1553" s="46"/>
      <c r="BO1553" s="46"/>
    </row>
    <row r="1554">
      <c r="A1554" s="16" t="str">
        <f t="shared" si="14"/>
        <v/>
      </c>
      <c r="B1554" s="16" t="str">
        <f t="shared" si="15"/>
        <v/>
      </c>
      <c r="C1554" s="35" t="str">
        <f t="shared" si="16"/>
        <v/>
      </c>
      <c r="D1554" s="35" t="str">
        <f t="shared" si="17"/>
        <v/>
      </c>
      <c r="E1554" s="35" t="str">
        <f t="shared" si="18"/>
        <v/>
      </c>
      <c r="F1554" s="35" t="str">
        <f t="shared" si="19"/>
        <v/>
      </c>
      <c r="G1554" s="35" t="str">
        <f t="shared" si="20"/>
        <v/>
      </c>
      <c r="H1554" s="49"/>
      <c r="I1554" s="47" t="str">
        <f t="shared" si="21"/>
        <v/>
      </c>
      <c r="J1554" s="50"/>
      <c r="K1554" s="45" t="b">
        <v>0</v>
      </c>
      <c r="L1554" s="45"/>
      <c r="M1554" s="45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6"/>
      <c r="AC1554" s="26"/>
      <c r="AD1554" s="26"/>
      <c r="AE1554" s="26"/>
      <c r="AF1554" s="26"/>
      <c r="AG1554" s="26"/>
      <c r="AH1554" s="26"/>
      <c r="AI1554" s="26"/>
      <c r="AJ1554" s="26"/>
      <c r="AK1554" s="2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46"/>
      <c r="BM1554" s="46"/>
      <c r="BN1554" s="46"/>
      <c r="BO1554" s="46"/>
    </row>
    <row r="1555">
      <c r="A1555" s="16" t="str">
        <f t="shared" si="14"/>
        <v/>
      </c>
      <c r="B1555" s="16" t="str">
        <f t="shared" si="15"/>
        <v/>
      </c>
      <c r="C1555" s="35" t="str">
        <f t="shared" si="16"/>
        <v/>
      </c>
      <c r="D1555" s="35" t="str">
        <f t="shared" si="17"/>
        <v/>
      </c>
      <c r="E1555" s="35" t="str">
        <f t="shared" si="18"/>
        <v/>
      </c>
      <c r="F1555" s="35" t="str">
        <f t="shared" si="19"/>
        <v/>
      </c>
      <c r="G1555" s="35" t="str">
        <f t="shared" si="20"/>
        <v/>
      </c>
      <c r="H1555" s="49"/>
      <c r="I1555" s="47" t="str">
        <f t="shared" si="21"/>
        <v/>
      </c>
      <c r="J1555" s="50"/>
      <c r="K1555" s="45" t="b">
        <v>0</v>
      </c>
      <c r="L1555" s="45"/>
      <c r="M1555" s="45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  <c r="AB1555" s="26"/>
      <c r="AC1555" s="26"/>
      <c r="AD1555" s="26"/>
      <c r="AE1555" s="26"/>
      <c r="AF1555" s="26"/>
      <c r="AG1555" s="26"/>
      <c r="AH1555" s="26"/>
      <c r="AI1555" s="26"/>
      <c r="AJ1555" s="26"/>
      <c r="AK1555" s="2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46"/>
      <c r="BM1555" s="46"/>
      <c r="BN1555" s="46"/>
      <c r="BO1555" s="46"/>
    </row>
    <row r="1556">
      <c r="A1556" s="16" t="str">
        <f t="shared" si="14"/>
        <v/>
      </c>
      <c r="B1556" s="16" t="str">
        <f t="shared" si="15"/>
        <v/>
      </c>
      <c r="C1556" s="35" t="str">
        <f t="shared" si="16"/>
        <v/>
      </c>
      <c r="D1556" s="35" t="str">
        <f t="shared" si="17"/>
        <v/>
      </c>
      <c r="E1556" s="35" t="str">
        <f t="shared" si="18"/>
        <v/>
      </c>
      <c r="F1556" s="35" t="str">
        <f t="shared" si="19"/>
        <v/>
      </c>
      <c r="G1556" s="35" t="str">
        <f t="shared" si="20"/>
        <v/>
      </c>
      <c r="H1556" s="49"/>
      <c r="I1556" s="47" t="str">
        <f t="shared" si="21"/>
        <v/>
      </c>
      <c r="J1556" s="50"/>
      <c r="K1556" s="45" t="b">
        <v>0</v>
      </c>
      <c r="L1556" s="45"/>
      <c r="M1556" s="45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  <c r="AB1556" s="26"/>
      <c r="AC1556" s="26"/>
      <c r="AD1556" s="26"/>
      <c r="AE1556" s="26"/>
      <c r="AF1556" s="26"/>
      <c r="AG1556" s="26"/>
      <c r="AH1556" s="26"/>
      <c r="AI1556" s="26"/>
      <c r="AJ1556" s="26"/>
      <c r="AK1556" s="2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46"/>
      <c r="BM1556" s="46"/>
      <c r="BN1556" s="46"/>
      <c r="BO1556" s="46"/>
    </row>
    <row r="1557">
      <c r="A1557" s="16" t="str">
        <f t="shared" si="14"/>
        <v/>
      </c>
      <c r="B1557" s="16" t="str">
        <f t="shared" si="15"/>
        <v/>
      </c>
      <c r="C1557" s="35" t="str">
        <f t="shared" si="16"/>
        <v/>
      </c>
      <c r="D1557" s="35" t="str">
        <f t="shared" si="17"/>
        <v/>
      </c>
      <c r="E1557" s="35" t="str">
        <f t="shared" si="18"/>
        <v/>
      </c>
      <c r="F1557" s="35" t="str">
        <f t="shared" si="19"/>
        <v/>
      </c>
      <c r="G1557" s="35" t="str">
        <f t="shared" si="20"/>
        <v/>
      </c>
      <c r="H1557" s="49"/>
      <c r="I1557" s="47" t="str">
        <f t="shared" si="21"/>
        <v/>
      </c>
      <c r="J1557" s="50"/>
      <c r="K1557" s="45" t="b">
        <v>0</v>
      </c>
      <c r="L1557" s="45"/>
      <c r="M1557" s="45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  <c r="AC1557" s="26"/>
      <c r="AD1557" s="26"/>
      <c r="AE1557" s="26"/>
      <c r="AF1557" s="26"/>
      <c r="AG1557" s="26"/>
      <c r="AH1557" s="26"/>
      <c r="AI1557" s="26"/>
      <c r="AJ1557" s="26"/>
      <c r="AK1557" s="2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46"/>
      <c r="BM1557" s="46"/>
      <c r="BN1557" s="46"/>
      <c r="BO1557" s="46"/>
    </row>
    <row r="1558">
      <c r="A1558" s="16" t="str">
        <f t="shared" si="14"/>
        <v/>
      </c>
      <c r="B1558" s="16" t="str">
        <f t="shared" si="15"/>
        <v/>
      </c>
      <c r="C1558" s="35" t="str">
        <f t="shared" si="16"/>
        <v/>
      </c>
      <c r="D1558" s="35" t="str">
        <f t="shared" si="17"/>
        <v/>
      </c>
      <c r="E1558" s="35" t="str">
        <f t="shared" si="18"/>
        <v/>
      </c>
      <c r="F1558" s="35" t="str">
        <f t="shared" si="19"/>
        <v/>
      </c>
      <c r="G1558" s="35" t="str">
        <f t="shared" si="20"/>
        <v/>
      </c>
      <c r="H1558" s="49"/>
      <c r="I1558" s="47" t="str">
        <f t="shared" si="21"/>
        <v/>
      </c>
      <c r="J1558" s="50"/>
      <c r="K1558" s="45" t="b">
        <v>0</v>
      </c>
      <c r="L1558" s="45"/>
      <c r="M1558" s="45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  <c r="AC1558" s="26"/>
      <c r="AD1558" s="26"/>
      <c r="AE1558" s="26"/>
      <c r="AF1558" s="26"/>
      <c r="AG1558" s="26"/>
      <c r="AH1558" s="26"/>
      <c r="AI1558" s="26"/>
      <c r="AJ1558" s="26"/>
      <c r="AK1558" s="2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</row>
    <row r="1559">
      <c r="A1559" s="16" t="str">
        <f t="shared" si="14"/>
        <v/>
      </c>
      <c r="B1559" s="16" t="str">
        <f t="shared" si="15"/>
        <v/>
      </c>
      <c r="C1559" s="35" t="str">
        <f t="shared" si="16"/>
        <v/>
      </c>
      <c r="D1559" s="35" t="str">
        <f t="shared" si="17"/>
        <v/>
      </c>
      <c r="E1559" s="35" t="str">
        <f t="shared" si="18"/>
        <v/>
      </c>
      <c r="F1559" s="35" t="str">
        <f t="shared" si="19"/>
        <v/>
      </c>
      <c r="G1559" s="35" t="str">
        <f t="shared" si="20"/>
        <v/>
      </c>
      <c r="H1559" s="49"/>
      <c r="I1559" s="47" t="str">
        <f t="shared" si="21"/>
        <v/>
      </c>
      <c r="J1559" s="50"/>
      <c r="K1559" s="45" t="b">
        <v>0</v>
      </c>
      <c r="L1559" s="45"/>
      <c r="M1559" s="45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  <c r="AC1559" s="26"/>
      <c r="AD1559" s="26"/>
      <c r="AE1559" s="26"/>
      <c r="AF1559" s="26"/>
      <c r="AG1559" s="26"/>
      <c r="AH1559" s="26"/>
      <c r="AI1559" s="26"/>
      <c r="AJ1559" s="26"/>
      <c r="AK1559" s="2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</row>
    <row r="1560">
      <c r="A1560" s="16" t="str">
        <f t="shared" si="14"/>
        <v/>
      </c>
      <c r="B1560" s="16" t="str">
        <f t="shared" si="15"/>
        <v/>
      </c>
      <c r="C1560" s="35" t="str">
        <f t="shared" si="16"/>
        <v/>
      </c>
      <c r="D1560" s="35" t="str">
        <f t="shared" si="17"/>
        <v/>
      </c>
      <c r="E1560" s="35" t="str">
        <f t="shared" si="18"/>
        <v/>
      </c>
      <c r="F1560" s="35" t="str">
        <f t="shared" si="19"/>
        <v/>
      </c>
      <c r="G1560" s="35" t="str">
        <f t="shared" si="20"/>
        <v/>
      </c>
      <c r="H1560" s="49"/>
      <c r="I1560" s="47" t="str">
        <f t="shared" si="21"/>
        <v/>
      </c>
      <c r="J1560" s="50"/>
      <c r="K1560" s="45" t="b">
        <v>0</v>
      </c>
      <c r="L1560" s="45"/>
      <c r="M1560" s="45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  <c r="AC1560" s="26"/>
      <c r="AD1560" s="26"/>
      <c r="AE1560" s="26"/>
      <c r="AF1560" s="26"/>
      <c r="AG1560" s="26"/>
      <c r="AH1560" s="26"/>
      <c r="AI1560" s="26"/>
      <c r="AJ1560" s="26"/>
      <c r="AK1560" s="2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</row>
    <row r="1561">
      <c r="A1561" s="16" t="str">
        <f t="shared" si="14"/>
        <v/>
      </c>
      <c r="B1561" s="16" t="str">
        <f t="shared" si="15"/>
        <v/>
      </c>
      <c r="C1561" s="35" t="str">
        <f t="shared" si="16"/>
        <v/>
      </c>
      <c r="D1561" s="35" t="str">
        <f t="shared" si="17"/>
        <v/>
      </c>
      <c r="E1561" s="35" t="str">
        <f t="shared" si="18"/>
        <v/>
      </c>
      <c r="F1561" s="35" t="str">
        <f t="shared" si="19"/>
        <v/>
      </c>
      <c r="G1561" s="35" t="str">
        <f t="shared" si="20"/>
        <v/>
      </c>
      <c r="H1561" s="49"/>
      <c r="I1561" s="47" t="str">
        <f t="shared" si="21"/>
        <v/>
      </c>
      <c r="J1561" s="50"/>
      <c r="K1561" s="45" t="b">
        <v>0</v>
      </c>
      <c r="L1561" s="45"/>
      <c r="M1561" s="45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  <c r="AC1561" s="26"/>
      <c r="AD1561" s="26"/>
      <c r="AE1561" s="26"/>
      <c r="AF1561" s="26"/>
      <c r="AG1561" s="26"/>
      <c r="AH1561" s="26"/>
      <c r="AI1561" s="26"/>
      <c r="AJ1561" s="26"/>
      <c r="AK1561" s="2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</row>
    <row r="1562">
      <c r="A1562" s="16" t="str">
        <f t="shared" si="14"/>
        <v/>
      </c>
      <c r="B1562" s="16" t="str">
        <f t="shared" si="15"/>
        <v/>
      </c>
      <c r="C1562" s="35" t="str">
        <f t="shared" si="16"/>
        <v/>
      </c>
      <c r="D1562" s="35" t="str">
        <f t="shared" si="17"/>
        <v/>
      </c>
      <c r="E1562" s="35" t="str">
        <f t="shared" si="18"/>
        <v/>
      </c>
      <c r="F1562" s="35" t="str">
        <f t="shared" si="19"/>
        <v/>
      </c>
      <c r="G1562" s="35" t="str">
        <f t="shared" si="20"/>
        <v/>
      </c>
      <c r="H1562" s="49"/>
      <c r="I1562" s="47" t="str">
        <f t="shared" si="21"/>
        <v/>
      </c>
      <c r="J1562" s="50"/>
      <c r="K1562" s="45" t="b">
        <v>0</v>
      </c>
      <c r="L1562" s="45"/>
      <c r="M1562" s="45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  <c r="AC1562" s="26"/>
      <c r="AD1562" s="26"/>
      <c r="AE1562" s="26"/>
      <c r="AF1562" s="26"/>
      <c r="AG1562" s="26"/>
      <c r="AH1562" s="26"/>
      <c r="AI1562" s="26"/>
      <c r="AJ1562" s="26"/>
      <c r="AK1562" s="2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</row>
    <row r="1563">
      <c r="A1563" s="16" t="str">
        <f t="shared" si="14"/>
        <v/>
      </c>
      <c r="B1563" s="16" t="str">
        <f t="shared" si="15"/>
        <v/>
      </c>
      <c r="C1563" s="35" t="str">
        <f t="shared" si="16"/>
        <v/>
      </c>
      <c r="D1563" s="35" t="str">
        <f t="shared" si="17"/>
        <v/>
      </c>
      <c r="E1563" s="35" t="str">
        <f t="shared" si="18"/>
        <v/>
      </c>
      <c r="F1563" s="35" t="str">
        <f t="shared" si="19"/>
        <v/>
      </c>
      <c r="G1563" s="35" t="str">
        <f t="shared" si="20"/>
        <v/>
      </c>
      <c r="H1563" s="49"/>
      <c r="I1563" s="47" t="str">
        <f t="shared" si="21"/>
        <v/>
      </c>
      <c r="J1563" s="50"/>
      <c r="K1563" s="45" t="b">
        <v>0</v>
      </c>
      <c r="L1563" s="45"/>
      <c r="M1563" s="45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  <c r="AC1563" s="26"/>
      <c r="AD1563" s="26"/>
      <c r="AE1563" s="26"/>
      <c r="AF1563" s="26"/>
      <c r="AG1563" s="26"/>
      <c r="AH1563" s="26"/>
      <c r="AI1563" s="26"/>
      <c r="AJ1563" s="26"/>
      <c r="AK1563" s="2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</row>
    <row r="1564">
      <c r="A1564" s="16" t="str">
        <f t="shared" si="14"/>
        <v/>
      </c>
      <c r="B1564" s="16" t="str">
        <f t="shared" si="15"/>
        <v/>
      </c>
      <c r="C1564" s="35" t="str">
        <f t="shared" si="16"/>
        <v/>
      </c>
      <c r="D1564" s="35" t="str">
        <f t="shared" si="17"/>
        <v/>
      </c>
      <c r="E1564" s="35" t="str">
        <f t="shared" si="18"/>
        <v/>
      </c>
      <c r="F1564" s="35" t="str">
        <f t="shared" si="19"/>
        <v/>
      </c>
      <c r="G1564" s="35" t="str">
        <f t="shared" si="20"/>
        <v/>
      </c>
      <c r="H1564" s="49"/>
      <c r="I1564" s="47" t="str">
        <f t="shared" si="21"/>
        <v/>
      </c>
      <c r="J1564" s="50"/>
      <c r="K1564" s="45" t="b">
        <v>0</v>
      </c>
      <c r="L1564" s="45"/>
      <c r="M1564" s="45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  <c r="AC1564" s="26"/>
      <c r="AD1564" s="26"/>
      <c r="AE1564" s="26"/>
      <c r="AF1564" s="26"/>
      <c r="AG1564" s="26"/>
      <c r="AH1564" s="26"/>
      <c r="AI1564" s="26"/>
      <c r="AJ1564" s="26"/>
      <c r="AK1564" s="2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46"/>
      <c r="BM1564" s="46"/>
      <c r="BN1564" s="46"/>
      <c r="BO1564" s="46"/>
    </row>
    <row r="1565">
      <c r="A1565" s="16" t="str">
        <f t="shared" si="14"/>
        <v/>
      </c>
      <c r="B1565" s="16" t="str">
        <f t="shared" si="15"/>
        <v/>
      </c>
      <c r="C1565" s="35" t="str">
        <f t="shared" si="16"/>
        <v/>
      </c>
      <c r="D1565" s="35" t="str">
        <f t="shared" si="17"/>
        <v/>
      </c>
      <c r="E1565" s="35" t="str">
        <f t="shared" si="18"/>
        <v/>
      </c>
      <c r="F1565" s="35" t="str">
        <f t="shared" si="19"/>
        <v/>
      </c>
      <c r="G1565" s="35" t="str">
        <f t="shared" si="20"/>
        <v/>
      </c>
      <c r="H1565" s="49"/>
      <c r="I1565" s="47" t="str">
        <f t="shared" si="21"/>
        <v/>
      </c>
      <c r="J1565" s="50"/>
      <c r="K1565" s="45" t="b">
        <v>0</v>
      </c>
      <c r="L1565" s="45"/>
      <c r="M1565" s="45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46"/>
      <c r="BM1565" s="46"/>
      <c r="BN1565" s="46"/>
      <c r="BO1565" s="46"/>
    </row>
    <row r="1566">
      <c r="A1566" s="16" t="str">
        <f t="shared" si="14"/>
        <v/>
      </c>
      <c r="B1566" s="16" t="str">
        <f t="shared" si="15"/>
        <v/>
      </c>
      <c r="C1566" s="35" t="str">
        <f t="shared" si="16"/>
        <v/>
      </c>
      <c r="D1566" s="35" t="str">
        <f t="shared" si="17"/>
        <v/>
      </c>
      <c r="E1566" s="35" t="str">
        <f t="shared" si="18"/>
        <v/>
      </c>
      <c r="F1566" s="35" t="str">
        <f t="shared" si="19"/>
        <v/>
      </c>
      <c r="G1566" s="35" t="str">
        <f t="shared" si="20"/>
        <v/>
      </c>
      <c r="H1566" s="49"/>
      <c r="I1566" s="47" t="str">
        <f t="shared" si="21"/>
        <v/>
      </c>
      <c r="J1566" s="50"/>
      <c r="K1566" s="45" t="b">
        <v>0</v>
      </c>
      <c r="L1566" s="45"/>
      <c r="M1566" s="45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  <c r="AB1566" s="26"/>
      <c r="AC1566" s="26"/>
      <c r="AD1566" s="26"/>
      <c r="AE1566" s="26"/>
      <c r="AF1566" s="26"/>
      <c r="AG1566" s="26"/>
      <c r="AH1566" s="26"/>
      <c r="AI1566" s="26"/>
      <c r="AJ1566" s="26"/>
      <c r="AK1566" s="2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46"/>
      <c r="BM1566" s="46"/>
      <c r="BN1566" s="46"/>
      <c r="BO1566" s="46"/>
    </row>
    <row r="1567">
      <c r="A1567" s="16" t="str">
        <f t="shared" si="14"/>
        <v/>
      </c>
      <c r="B1567" s="16" t="str">
        <f t="shared" si="15"/>
        <v/>
      </c>
      <c r="C1567" s="35" t="str">
        <f t="shared" si="16"/>
        <v/>
      </c>
      <c r="D1567" s="35" t="str">
        <f t="shared" si="17"/>
        <v/>
      </c>
      <c r="E1567" s="35" t="str">
        <f t="shared" si="18"/>
        <v/>
      </c>
      <c r="F1567" s="35" t="str">
        <f t="shared" si="19"/>
        <v/>
      </c>
      <c r="G1567" s="35" t="str">
        <f t="shared" si="20"/>
        <v/>
      </c>
      <c r="H1567" s="49"/>
      <c r="I1567" s="47" t="str">
        <f t="shared" si="21"/>
        <v/>
      </c>
      <c r="J1567" s="50"/>
      <c r="K1567" s="45" t="b">
        <v>0</v>
      </c>
      <c r="L1567" s="45"/>
      <c r="M1567" s="45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  <c r="AC1567" s="26"/>
      <c r="AD1567" s="26"/>
      <c r="AE1567" s="26"/>
      <c r="AF1567" s="26"/>
      <c r="AG1567" s="26"/>
      <c r="AH1567" s="26"/>
      <c r="AI1567" s="26"/>
      <c r="AJ1567" s="26"/>
      <c r="AK1567" s="2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46"/>
      <c r="BM1567" s="46"/>
      <c r="BN1567" s="46"/>
      <c r="BO1567" s="46"/>
    </row>
    <row r="1568">
      <c r="A1568" s="16" t="str">
        <f t="shared" si="14"/>
        <v/>
      </c>
      <c r="B1568" s="16" t="str">
        <f t="shared" si="15"/>
        <v/>
      </c>
      <c r="C1568" s="35" t="str">
        <f t="shared" si="16"/>
        <v/>
      </c>
      <c r="D1568" s="35" t="str">
        <f t="shared" si="17"/>
        <v/>
      </c>
      <c r="E1568" s="35" t="str">
        <f t="shared" si="18"/>
        <v/>
      </c>
      <c r="F1568" s="35" t="str">
        <f t="shared" si="19"/>
        <v/>
      </c>
      <c r="G1568" s="35" t="str">
        <f t="shared" si="20"/>
        <v/>
      </c>
      <c r="H1568" s="49"/>
      <c r="I1568" s="47" t="str">
        <f t="shared" si="21"/>
        <v/>
      </c>
      <c r="J1568" s="50"/>
      <c r="K1568" s="45" t="b">
        <v>0</v>
      </c>
      <c r="L1568" s="45"/>
      <c r="M1568" s="45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  <c r="AC1568" s="26"/>
      <c r="AD1568" s="26"/>
      <c r="AE1568" s="26"/>
      <c r="AF1568" s="26"/>
      <c r="AG1568" s="26"/>
      <c r="AH1568" s="26"/>
      <c r="AI1568" s="26"/>
      <c r="AJ1568" s="26"/>
      <c r="AK1568" s="2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46"/>
      <c r="BM1568" s="46"/>
      <c r="BN1568" s="46"/>
      <c r="BO1568" s="46"/>
    </row>
    <row r="1569">
      <c r="A1569" s="16" t="str">
        <f t="shared" si="14"/>
        <v/>
      </c>
      <c r="B1569" s="16" t="str">
        <f t="shared" si="15"/>
        <v/>
      </c>
      <c r="C1569" s="35" t="str">
        <f t="shared" si="16"/>
        <v/>
      </c>
      <c r="D1569" s="35" t="str">
        <f t="shared" si="17"/>
        <v/>
      </c>
      <c r="E1569" s="35" t="str">
        <f t="shared" si="18"/>
        <v/>
      </c>
      <c r="F1569" s="35" t="str">
        <f t="shared" si="19"/>
        <v/>
      </c>
      <c r="G1569" s="35" t="str">
        <f t="shared" si="20"/>
        <v/>
      </c>
      <c r="H1569" s="49"/>
      <c r="I1569" s="47" t="str">
        <f t="shared" si="21"/>
        <v/>
      </c>
      <c r="J1569" s="50"/>
      <c r="K1569" s="45" t="b">
        <v>0</v>
      </c>
      <c r="L1569" s="45"/>
      <c r="M1569" s="45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  <c r="AB1569" s="26"/>
      <c r="AC1569" s="26"/>
      <c r="AD1569" s="26"/>
      <c r="AE1569" s="26"/>
      <c r="AF1569" s="26"/>
      <c r="AG1569" s="26"/>
      <c r="AH1569" s="26"/>
      <c r="AI1569" s="26"/>
      <c r="AJ1569" s="26"/>
      <c r="AK1569" s="2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46"/>
      <c r="BM1569" s="46"/>
      <c r="BN1569" s="46"/>
      <c r="BO1569" s="46"/>
    </row>
    <row r="1570">
      <c r="A1570" s="16" t="str">
        <f t="shared" si="14"/>
        <v/>
      </c>
      <c r="B1570" s="16" t="str">
        <f t="shared" si="15"/>
        <v/>
      </c>
      <c r="C1570" s="35" t="str">
        <f t="shared" si="16"/>
        <v/>
      </c>
      <c r="D1570" s="35" t="str">
        <f t="shared" si="17"/>
        <v/>
      </c>
      <c r="E1570" s="35" t="str">
        <f t="shared" si="18"/>
        <v/>
      </c>
      <c r="F1570" s="35" t="str">
        <f t="shared" si="19"/>
        <v/>
      </c>
      <c r="G1570" s="35" t="str">
        <f t="shared" si="20"/>
        <v/>
      </c>
      <c r="H1570" s="49"/>
      <c r="I1570" s="47" t="str">
        <f t="shared" si="21"/>
        <v/>
      </c>
      <c r="J1570" s="50"/>
      <c r="K1570" s="45" t="b">
        <v>0</v>
      </c>
      <c r="L1570" s="45"/>
      <c r="M1570" s="45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  <c r="AB1570" s="26"/>
      <c r="AC1570" s="26"/>
      <c r="AD1570" s="26"/>
      <c r="AE1570" s="26"/>
      <c r="AF1570" s="26"/>
      <c r="AG1570" s="26"/>
      <c r="AH1570" s="26"/>
      <c r="AI1570" s="26"/>
      <c r="AJ1570" s="26"/>
      <c r="AK1570" s="2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</row>
    <row r="1571">
      <c r="A1571" s="16" t="str">
        <f t="shared" si="14"/>
        <v/>
      </c>
      <c r="B1571" s="16" t="str">
        <f t="shared" si="15"/>
        <v/>
      </c>
      <c r="C1571" s="35" t="str">
        <f t="shared" si="16"/>
        <v/>
      </c>
      <c r="D1571" s="35" t="str">
        <f t="shared" si="17"/>
        <v/>
      </c>
      <c r="E1571" s="35" t="str">
        <f t="shared" si="18"/>
        <v/>
      </c>
      <c r="F1571" s="35" t="str">
        <f t="shared" si="19"/>
        <v/>
      </c>
      <c r="G1571" s="35" t="str">
        <f t="shared" si="20"/>
        <v/>
      </c>
      <c r="H1571" s="49"/>
      <c r="I1571" s="47" t="str">
        <f t="shared" si="21"/>
        <v/>
      </c>
      <c r="J1571" s="50"/>
      <c r="K1571" s="45" t="b">
        <v>0</v>
      </c>
      <c r="L1571" s="45"/>
      <c r="M1571" s="45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  <c r="AB1571" s="26"/>
      <c r="AC1571" s="26"/>
      <c r="AD1571" s="26"/>
      <c r="AE1571" s="26"/>
      <c r="AF1571" s="26"/>
      <c r="AG1571" s="26"/>
      <c r="AH1571" s="26"/>
      <c r="AI1571" s="26"/>
      <c r="AJ1571" s="26"/>
      <c r="AK1571" s="2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</row>
    <row r="1572">
      <c r="A1572" s="16" t="str">
        <f t="shared" si="14"/>
        <v/>
      </c>
      <c r="B1572" s="16" t="str">
        <f t="shared" si="15"/>
        <v/>
      </c>
      <c r="C1572" s="35" t="str">
        <f t="shared" si="16"/>
        <v/>
      </c>
      <c r="D1572" s="35" t="str">
        <f t="shared" si="17"/>
        <v/>
      </c>
      <c r="E1572" s="35" t="str">
        <f t="shared" si="18"/>
        <v/>
      </c>
      <c r="F1572" s="35" t="str">
        <f t="shared" si="19"/>
        <v/>
      </c>
      <c r="G1572" s="35" t="str">
        <f t="shared" si="20"/>
        <v/>
      </c>
      <c r="H1572" s="49"/>
      <c r="I1572" s="47" t="str">
        <f t="shared" si="21"/>
        <v/>
      </c>
      <c r="J1572" s="50"/>
      <c r="K1572" s="45" t="b">
        <v>0</v>
      </c>
      <c r="L1572" s="45"/>
      <c r="M1572" s="45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  <c r="AC1572" s="26"/>
      <c r="AD1572" s="26"/>
      <c r="AE1572" s="26"/>
      <c r="AF1572" s="26"/>
      <c r="AG1572" s="26"/>
      <c r="AH1572" s="26"/>
      <c r="AI1572" s="26"/>
      <c r="AJ1572" s="26"/>
      <c r="AK1572" s="2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46"/>
      <c r="BM1572" s="46"/>
      <c r="BN1572" s="46"/>
      <c r="BO1572" s="46"/>
    </row>
    <row r="1573">
      <c r="A1573" s="16" t="str">
        <f t="shared" si="14"/>
        <v/>
      </c>
      <c r="B1573" s="16" t="str">
        <f t="shared" si="15"/>
        <v/>
      </c>
      <c r="C1573" s="35" t="str">
        <f t="shared" si="16"/>
        <v/>
      </c>
      <c r="D1573" s="35" t="str">
        <f t="shared" si="17"/>
        <v/>
      </c>
      <c r="E1573" s="35" t="str">
        <f t="shared" si="18"/>
        <v/>
      </c>
      <c r="F1573" s="35" t="str">
        <f t="shared" si="19"/>
        <v/>
      </c>
      <c r="G1573" s="35" t="str">
        <f t="shared" si="20"/>
        <v/>
      </c>
      <c r="H1573" s="49"/>
      <c r="I1573" s="47" t="str">
        <f t="shared" si="21"/>
        <v/>
      </c>
      <c r="J1573" s="50"/>
      <c r="K1573" s="45" t="b">
        <v>0</v>
      </c>
      <c r="L1573" s="45"/>
      <c r="M1573" s="45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  <c r="AB1573" s="26"/>
      <c r="AC1573" s="26"/>
      <c r="AD1573" s="26"/>
      <c r="AE1573" s="26"/>
      <c r="AF1573" s="26"/>
      <c r="AG1573" s="26"/>
      <c r="AH1573" s="26"/>
      <c r="AI1573" s="26"/>
      <c r="AJ1573" s="26"/>
      <c r="AK1573" s="2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46"/>
      <c r="BM1573" s="46"/>
      <c r="BN1573" s="46"/>
      <c r="BO1573" s="46"/>
    </row>
    <row r="1574">
      <c r="A1574" s="16" t="str">
        <f t="shared" si="14"/>
        <v/>
      </c>
      <c r="B1574" s="16" t="str">
        <f t="shared" si="15"/>
        <v/>
      </c>
      <c r="C1574" s="35" t="str">
        <f t="shared" si="16"/>
        <v/>
      </c>
      <c r="D1574" s="35" t="str">
        <f t="shared" si="17"/>
        <v/>
      </c>
      <c r="E1574" s="35" t="str">
        <f t="shared" si="18"/>
        <v/>
      </c>
      <c r="F1574" s="35" t="str">
        <f t="shared" si="19"/>
        <v/>
      </c>
      <c r="G1574" s="35" t="str">
        <f t="shared" si="20"/>
        <v/>
      </c>
      <c r="H1574" s="49"/>
      <c r="I1574" s="47" t="str">
        <f t="shared" si="21"/>
        <v/>
      </c>
      <c r="J1574" s="50"/>
      <c r="K1574" s="45" t="b">
        <v>0</v>
      </c>
      <c r="L1574" s="45"/>
      <c r="M1574" s="45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  <c r="AB1574" s="26"/>
      <c r="AC1574" s="26"/>
      <c r="AD1574" s="26"/>
      <c r="AE1574" s="26"/>
      <c r="AF1574" s="26"/>
      <c r="AG1574" s="26"/>
      <c r="AH1574" s="26"/>
      <c r="AI1574" s="26"/>
      <c r="AJ1574" s="26"/>
      <c r="AK1574" s="2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46"/>
      <c r="BM1574" s="46"/>
      <c r="BN1574" s="46"/>
      <c r="BO1574" s="46"/>
    </row>
    <row r="1575">
      <c r="A1575" s="16" t="str">
        <f t="shared" si="14"/>
        <v/>
      </c>
      <c r="B1575" s="16" t="str">
        <f t="shared" si="15"/>
        <v/>
      </c>
      <c r="C1575" s="35" t="str">
        <f t="shared" si="16"/>
        <v/>
      </c>
      <c r="D1575" s="35" t="str">
        <f t="shared" si="17"/>
        <v/>
      </c>
      <c r="E1575" s="35" t="str">
        <f t="shared" si="18"/>
        <v/>
      </c>
      <c r="F1575" s="35" t="str">
        <f t="shared" si="19"/>
        <v/>
      </c>
      <c r="G1575" s="35" t="str">
        <f t="shared" si="20"/>
        <v/>
      </c>
      <c r="H1575" s="49"/>
      <c r="I1575" s="47" t="str">
        <f t="shared" si="21"/>
        <v/>
      </c>
      <c r="J1575" s="50"/>
      <c r="K1575" s="45" t="b">
        <v>0</v>
      </c>
      <c r="L1575" s="45"/>
      <c r="M1575" s="45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  <c r="AC1575" s="26"/>
      <c r="AD1575" s="26"/>
      <c r="AE1575" s="26"/>
      <c r="AF1575" s="26"/>
      <c r="AG1575" s="26"/>
      <c r="AH1575" s="26"/>
      <c r="AI1575" s="26"/>
      <c r="AJ1575" s="26"/>
      <c r="AK1575" s="2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</row>
    <row r="1576">
      <c r="A1576" s="16" t="str">
        <f t="shared" si="14"/>
        <v/>
      </c>
      <c r="B1576" s="16" t="str">
        <f t="shared" si="15"/>
        <v/>
      </c>
      <c r="C1576" s="35" t="str">
        <f t="shared" si="16"/>
        <v/>
      </c>
      <c r="D1576" s="35" t="str">
        <f t="shared" si="17"/>
        <v/>
      </c>
      <c r="E1576" s="35" t="str">
        <f t="shared" si="18"/>
        <v/>
      </c>
      <c r="F1576" s="35" t="str">
        <f t="shared" si="19"/>
        <v/>
      </c>
      <c r="G1576" s="35" t="str">
        <f t="shared" si="20"/>
        <v/>
      </c>
      <c r="H1576" s="49"/>
      <c r="I1576" s="47" t="str">
        <f t="shared" si="21"/>
        <v/>
      </c>
      <c r="J1576" s="50"/>
      <c r="K1576" s="45" t="b">
        <v>0</v>
      </c>
      <c r="L1576" s="45"/>
      <c r="M1576" s="45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  <c r="AC1576" s="26"/>
      <c r="AD1576" s="26"/>
      <c r="AE1576" s="26"/>
      <c r="AF1576" s="26"/>
      <c r="AG1576" s="26"/>
      <c r="AH1576" s="26"/>
      <c r="AI1576" s="26"/>
      <c r="AJ1576" s="26"/>
      <c r="AK1576" s="2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46"/>
      <c r="BM1576" s="46"/>
      <c r="BN1576" s="46"/>
      <c r="BO1576" s="46"/>
    </row>
    <row r="1577">
      <c r="A1577" s="16" t="str">
        <f t="shared" si="14"/>
        <v/>
      </c>
      <c r="B1577" s="16" t="str">
        <f t="shared" si="15"/>
        <v/>
      </c>
      <c r="C1577" s="35" t="str">
        <f t="shared" si="16"/>
        <v/>
      </c>
      <c r="D1577" s="35" t="str">
        <f t="shared" si="17"/>
        <v/>
      </c>
      <c r="E1577" s="35" t="str">
        <f t="shared" si="18"/>
        <v/>
      </c>
      <c r="F1577" s="35" t="str">
        <f t="shared" si="19"/>
        <v/>
      </c>
      <c r="G1577" s="35" t="str">
        <f t="shared" si="20"/>
        <v/>
      </c>
      <c r="H1577" s="49"/>
      <c r="I1577" s="47" t="str">
        <f t="shared" si="21"/>
        <v/>
      </c>
      <c r="J1577" s="50"/>
      <c r="K1577" s="45" t="b">
        <v>0</v>
      </c>
      <c r="L1577" s="45"/>
      <c r="M1577" s="45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  <c r="AC1577" s="26"/>
      <c r="AD1577" s="26"/>
      <c r="AE1577" s="26"/>
      <c r="AF1577" s="26"/>
      <c r="AG1577" s="26"/>
      <c r="AH1577" s="26"/>
      <c r="AI1577" s="26"/>
      <c r="AJ1577" s="26"/>
      <c r="AK1577" s="2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46"/>
      <c r="BM1577" s="46"/>
      <c r="BN1577" s="46"/>
      <c r="BO1577" s="46"/>
    </row>
    <row r="1578">
      <c r="A1578" s="16" t="str">
        <f t="shared" si="14"/>
        <v/>
      </c>
      <c r="B1578" s="16" t="str">
        <f t="shared" si="15"/>
        <v/>
      </c>
      <c r="C1578" s="35" t="str">
        <f t="shared" si="16"/>
        <v/>
      </c>
      <c r="D1578" s="35" t="str">
        <f t="shared" si="17"/>
        <v/>
      </c>
      <c r="E1578" s="35" t="str">
        <f t="shared" si="18"/>
        <v/>
      </c>
      <c r="F1578" s="35" t="str">
        <f t="shared" si="19"/>
        <v/>
      </c>
      <c r="G1578" s="35" t="str">
        <f t="shared" si="20"/>
        <v/>
      </c>
      <c r="H1578" s="49"/>
      <c r="I1578" s="47" t="str">
        <f t="shared" si="21"/>
        <v/>
      </c>
      <c r="J1578" s="50"/>
      <c r="K1578" s="45" t="b">
        <v>0</v>
      </c>
      <c r="L1578" s="45"/>
      <c r="M1578" s="45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  <c r="AC1578" s="26"/>
      <c r="AD1578" s="26"/>
      <c r="AE1578" s="26"/>
      <c r="AF1578" s="26"/>
      <c r="AG1578" s="26"/>
      <c r="AH1578" s="26"/>
      <c r="AI1578" s="26"/>
      <c r="AJ1578" s="26"/>
      <c r="AK1578" s="2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46"/>
      <c r="BM1578" s="46"/>
      <c r="BN1578" s="46"/>
      <c r="BO1578" s="46"/>
    </row>
    <row r="1579">
      <c r="A1579" s="16" t="str">
        <f t="shared" si="14"/>
        <v/>
      </c>
      <c r="B1579" s="16" t="str">
        <f t="shared" si="15"/>
        <v/>
      </c>
      <c r="C1579" s="35" t="str">
        <f t="shared" si="16"/>
        <v/>
      </c>
      <c r="D1579" s="35" t="str">
        <f t="shared" si="17"/>
        <v/>
      </c>
      <c r="E1579" s="35" t="str">
        <f t="shared" si="18"/>
        <v/>
      </c>
      <c r="F1579" s="35" t="str">
        <f t="shared" si="19"/>
        <v/>
      </c>
      <c r="G1579" s="35" t="str">
        <f t="shared" si="20"/>
        <v/>
      </c>
      <c r="H1579" s="49"/>
      <c r="I1579" s="47" t="str">
        <f t="shared" si="21"/>
        <v/>
      </c>
      <c r="J1579" s="50"/>
      <c r="K1579" s="45" t="b">
        <v>0</v>
      </c>
      <c r="L1579" s="45"/>
      <c r="M1579" s="45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  <c r="AC1579" s="26"/>
      <c r="AD1579" s="26"/>
      <c r="AE1579" s="26"/>
      <c r="AF1579" s="26"/>
      <c r="AG1579" s="26"/>
      <c r="AH1579" s="26"/>
      <c r="AI1579" s="26"/>
      <c r="AJ1579" s="26"/>
      <c r="AK1579" s="2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46"/>
      <c r="BM1579" s="46"/>
      <c r="BN1579" s="46"/>
      <c r="BO1579" s="46"/>
    </row>
    <row r="1580">
      <c r="A1580" s="16" t="str">
        <f t="shared" si="14"/>
        <v/>
      </c>
      <c r="B1580" s="16" t="str">
        <f t="shared" si="15"/>
        <v/>
      </c>
      <c r="C1580" s="35" t="str">
        <f t="shared" si="16"/>
        <v/>
      </c>
      <c r="D1580" s="35" t="str">
        <f t="shared" si="17"/>
        <v/>
      </c>
      <c r="E1580" s="35" t="str">
        <f t="shared" si="18"/>
        <v/>
      </c>
      <c r="F1580" s="35" t="str">
        <f t="shared" si="19"/>
        <v/>
      </c>
      <c r="G1580" s="35" t="str">
        <f t="shared" si="20"/>
        <v/>
      </c>
      <c r="H1580" s="49"/>
      <c r="I1580" s="47" t="str">
        <f t="shared" si="21"/>
        <v/>
      </c>
      <c r="J1580" s="50"/>
      <c r="K1580" s="45" t="b">
        <v>0</v>
      </c>
      <c r="L1580" s="45"/>
      <c r="M1580" s="45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  <c r="AC1580" s="26"/>
      <c r="AD1580" s="26"/>
      <c r="AE1580" s="26"/>
      <c r="AF1580" s="26"/>
      <c r="AG1580" s="26"/>
      <c r="AH1580" s="26"/>
      <c r="AI1580" s="26"/>
      <c r="AJ1580" s="26"/>
      <c r="AK1580" s="2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/>
    </row>
    <row r="1581">
      <c r="A1581" s="16" t="str">
        <f t="shared" si="14"/>
        <v/>
      </c>
      <c r="B1581" s="16" t="str">
        <f t="shared" si="15"/>
        <v/>
      </c>
      <c r="C1581" s="35" t="str">
        <f t="shared" si="16"/>
        <v/>
      </c>
      <c r="D1581" s="35" t="str">
        <f t="shared" si="17"/>
        <v/>
      </c>
      <c r="E1581" s="35" t="str">
        <f t="shared" si="18"/>
        <v/>
      </c>
      <c r="F1581" s="35" t="str">
        <f t="shared" si="19"/>
        <v/>
      </c>
      <c r="G1581" s="35" t="str">
        <f t="shared" si="20"/>
        <v/>
      </c>
      <c r="H1581" s="49"/>
      <c r="I1581" s="47" t="str">
        <f t="shared" si="21"/>
        <v/>
      </c>
      <c r="J1581" s="50"/>
      <c r="K1581" s="45" t="b">
        <v>0</v>
      </c>
      <c r="L1581" s="45"/>
      <c r="M1581" s="45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  <c r="AC1581" s="26"/>
      <c r="AD1581" s="26"/>
      <c r="AE1581" s="26"/>
      <c r="AF1581" s="26"/>
      <c r="AG1581" s="26"/>
      <c r="AH1581" s="26"/>
      <c r="AI1581" s="26"/>
      <c r="AJ1581" s="26"/>
      <c r="AK1581" s="2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</row>
    <row r="1582">
      <c r="A1582" s="16" t="str">
        <f t="shared" si="14"/>
        <v/>
      </c>
      <c r="B1582" s="16" t="str">
        <f t="shared" si="15"/>
        <v/>
      </c>
      <c r="C1582" s="35" t="str">
        <f t="shared" si="16"/>
        <v/>
      </c>
      <c r="D1582" s="35" t="str">
        <f t="shared" si="17"/>
        <v/>
      </c>
      <c r="E1582" s="35" t="str">
        <f t="shared" si="18"/>
        <v/>
      </c>
      <c r="F1582" s="35" t="str">
        <f t="shared" si="19"/>
        <v/>
      </c>
      <c r="G1582" s="35" t="str">
        <f t="shared" si="20"/>
        <v/>
      </c>
      <c r="H1582" s="49"/>
      <c r="I1582" s="47" t="str">
        <f t="shared" si="21"/>
        <v/>
      </c>
      <c r="J1582" s="50"/>
      <c r="K1582" s="45" t="b">
        <v>0</v>
      </c>
      <c r="L1582" s="45"/>
      <c r="M1582" s="45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  <c r="AC1582" s="26"/>
      <c r="AD1582" s="26"/>
      <c r="AE1582" s="26"/>
      <c r="AF1582" s="26"/>
      <c r="AG1582" s="26"/>
      <c r="AH1582" s="26"/>
      <c r="AI1582" s="26"/>
      <c r="AJ1582" s="26"/>
      <c r="AK1582" s="2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/>
    </row>
    <row r="1583">
      <c r="A1583" s="16" t="str">
        <f t="shared" si="14"/>
        <v/>
      </c>
      <c r="B1583" s="16" t="str">
        <f t="shared" si="15"/>
        <v/>
      </c>
      <c r="C1583" s="35" t="str">
        <f t="shared" si="16"/>
        <v/>
      </c>
      <c r="D1583" s="35" t="str">
        <f t="shared" si="17"/>
        <v/>
      </c>
      <c r="E1583" s="35" t="str">
        <f t="shared" si="18"/>
        <v/>
      </c>
      <c r="F1583" s="35" t="str">
        <f t="shared" si="19"/>
        <v/>
      </c>
      <c r="G1583" s="35" t="str">
        <f t="shared" si="20"/>
        <v/>
      </c>
      <c r="H1583" s="49"/>
      <c r="I1583" s="47" t="str">
        <f t="shared" si="21"/>
        <v/>
      </c>
      <c r="J1583" s="50"/>
      <c r="K1583" s="45" t="b">
        <v>0</v>
      </c>
      <c r="L1583" s="45"/>
      <c r="M1583" s="45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  <c r="AC1583" s="26"/>
      <c r="AD1583" s="26"/>
      <c r="AE1583" s="26"/>
      <c r="AF1583" s="26"/>
      <c r="AG1583" s="26"/>
      <c r="AH1583" s="26"/>
      <c r="AI1583" s="26"/>
      <c r="AJ1583" s="26"/>
      <c r="AK1583" s="2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46"/>
      <c r="BM1583" s="46"/>
      <c r="BN1583" s="46"/>
      <c r="BO1583" s="46"/>
    </row>
    <row r="1584">
      <c r="A1584" s="16" t="str">
        <f t="shared" si="14"/>
        <v/>
      </c>
      <c r="B1584" s="16" t="str">
        <f t="shared" si="15"/>
        <v/>
      </c>
      <c r="C1584" s="35" t="str">
        <f t="shared" si="16"/>
        <v/>
      </c>
      <c r="D1584" s="35" t="str">
        <f t="shared" si="17"/>
        <v/>
      </c>
      <c r="E1584" s="35" t="str">
        <f t="shared" si="18"/>
        <v/>
      </c>
      <c r="F1584" s="35" t="str">
        <f t="shared" si="19"/>
        <v/>
      </c>
      <c r="G1584" s="35" t="str">
        <f t="shared" si="20"/>
        <v/>
      </c>
      <c r="H1584" s="49"/>
      <c r="I1584" s="47" t="str">
        <f t="shared" si="21"/>
        <v/>
      </c>
      <c r="J1584" s="50"/>
      <c r="K1584" s="45" t="b">
        <v>0</v>
      </c>
      <c r="L1584" s="45"/>
      <c r="M1584" s="45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  <c r="AD1584" s="26"/>
      <c r="AE1584" s="26"/>
      <c r="AF1584" s="26"/>
      <c r="AG1584" s="26"/>
      <c r="AH1584" s="26"/>
      <c r="AI1584" s="26"/>
      <c r="AJ1584" s="26"/>
      <c r="AK1584" s="2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46"/>
      <c r="BM1584" s="46"/>
      <c r="BN1584" s="46"/>
      <c r="BO1584" s="46"/>
    </row>
    <row r="1585">
      <c r="A1585" s="16" t="str">
        <f t="shared" si="14"/>
        <v/>
      </c>
      <c r="B1585" s="16" t="str">
        <f t="shared" si="15"/>
        <v/>
      </c>
      <c r="C1585" s="35" t="str">
        <f t="shared" si="16"/>
        <v/>
      </c>
      <c r="D1585" s="35" t="str">
        <f t="shared" si="17"/>
        <v/>
      </c>
      <c r="E1585" s="35" t="str">
        <f t="shared" si="18"/>
        <v/>
      </c>
      <c r="F1585" s="35" t="str">
        <f t="shared" si="19"/>
        <v/>
      </c>
      <c r="G1585" s="35" t="str">
        <f t="shared" si="20"/>
        <v/>
      </c>
      <c r="H1585" s="49"/>
      <c r="I1585" s="47" t="str">
        <f t="shared" si="21"/>
        <v/>
      </c>
      <c r="J1585" s="50"/>
      <c r="K1585" s="45" t="b">
        <v>0</v>
      </c>
      <c r="L1585" s="45"/>
      <c r="M1585" s="45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  <c r="AC1585" s="26"/>
      <c r="AD1585" s="26"/>
      <c r="AE1585" s="26"/>
      <c r="AF1585" s="26"/>
      <c r="AG1585" s="26"/>
      <c r="AH1585" s="26"/>
      <c r="AI1585" s="26"/>
      <c r="AJ1585" s="26"/>
      <c r="AK1585" s="2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46"/>
      <c r="BM1585" s="46"/>
      <c r="BN1585" s="46"/>
      <c r="BO1585" s="46"/>
    </row>
    <row r="1586">
      <c r="A1586" s="16" t="str">
        <f t="shared" si="14"/>
        <v/>
      </c>
      <c r="B1586" s="16" t="str">
        <f t="shared" si="15"/>
        <v/>
      </c>
      <c r="C1586" s="35" t="str">
        <f t="shared" si="16"/>
        <v/>
      </c>
      <c r="D1586" s="35" t="str">
        <f t="shared" si="17"/>
        <v/>
      </c>
      <c r="E1586" s="35" t="str">
        <f t="shared" si="18"/>
        <v/>
      </c>
      <c r="F1586" s="35" t="str">
        <f t="shared" si="19"/>
        <v/>
      </c>
      <c r="G1586" s="35" t="str">
        <f t="shared" si="20"/>
        <v/>
      </c>
      <c r="H1586" s="49"/>
      <c r="I1586" s="47" t="str">
        <f t="shared" si="21"/>
        <v/>
      </c>
      <c r="J1586" s="50"/>
      <c r="K1586" s="45" t="b">
        <v>0</v>
      </c>
      <c r="L1586" s="45"/>
      <c r="M1586" s="45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  <c r="AC1586" s="26"/>
      <c r="AD1586" s="26"/>
      <c r="AE1586" s="26"/>
      <c r="AF1586" s="26"/>
      <c r="AG1586" s="26"/>
      <c r="AH1586" s="26"/>
      <c r="AI1586" s="26"/>
      <c r="AJ1586" s="26"/>
      <c r="AK1586" s="2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46"/>
      <c r="BM1586" s="46"/>
      <c r="BN1586" s="46"/>
      <c r="BO1586" s="46"/>
    </row>
    <row r="1587">
      <c r="A1587" s="16" t="str">
        <f t="shared" si="14"/>
        <v/>
      </c>
      <c r="B1587" s="16" t="str">
        <f t="shared" si="15"/>
        <v/>
      </c>
      <c r="C1587" s="35" t="str">
        <f t="shared" si="16"/>
        <v/>
      </c>
      <c r="D1587" s="35" t="str">
        <f t="shared" si="17"/>
        <v/>
      </c>
      <c r="E1587" s="35" t="str">
        <f t="shared" si="18"/>
        <v/>
      </c>
      <c r="F1587" s="35" t="str">
        <f t="shared" si="19"/>
        <v/>
      </c>
      <c r="G1587" s="35" t="str">
        <f t="shared" si="20"/>
        <v/>
      </c>
      <c r="H1587" s="49"/>
      <c r="I1587" s="47" t="str">
        <f t="shared" si="21"/>
        <v/>
      </c>
      <c r="J1587" s="50"/>
      <c r="K1587" s="45" t="b">
        <v>0</v>
      </c>
      <c r="L1587" s="45"/>
      <c r="M1587" s="45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  <c r="AB1587" s="26"/>
      <c r="AC1587" s="26"/>
      <c r="AD1587" s="26"/>
      <c r="AE1587" s="26"/>
      <c r="AF1587" s="26"/>
      <c r="AG1587" s="26"/>
      <c r="AH1587" s="26"/>
      <c r="AI1587" s="26"/>
      <c r="AJ1587" s="26"/>
      <c r="AK1587" s="2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46"/>
      <c r="BM1587" s="46"/>
      <c r="BN1587" s="46"/>
      <c r="BO1587" s="46"/>
    </row>
    <row r="1588">
      <c r="A1588" s="16" t="str">
        <f t="shared" si="14"/>
        <v/>
      </c>
      <c r="B1588" s="16" t="str">
        <f t="shared" si="15"/>
        <v/>
      </c>
      <c r="C1588" s="35" t="str">
        <f t="shared" si="16"/>
        <v/>
      </c>
      <c r="D1588" s="35" t="str">
        <f t="shared" si="17"/>
        <v/>
      </c>
      <c r="E1588" s="35" t="str">
        <f t="shared" si="18"/>
        <v/>
      </c>
      <c r="F1588" s="35" t="str">
        <f t="shared" si="19"/>
        <v/>
      </c>
      <c r="G1588" s="35" t="str">
        <f t="shared" si="20"/>
        <v/>
      </c>
      <c r="H1588" s="49"/>
      <c r="I1588" s="47" t="str">
        <f t="shared" si="21"/>
        <v/>
      </c>
      <c r="J1588" s="50"/>
      <c r="K1588" s="45" t="b">
        <v>0</v>
      </c>
      <c r="L1588" s="45"/>
      <c r="M1588" s="45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  <c r="AB1588" s="26"/>
      <c r="AC1588" s="26"/>
      <c r="AD1588" s="26"/>
      <c r="AE1588" s="26"/>
      <c r="AF1588" s="26"/>
      <c r="AG1588" s="26"/>
      <c r="AH1588" s="26"/>
      <c r="AI1588" s="26"/>
      <c r="AJ1588" s="26"/>
      <c r="AK1588" s="2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46"/>
      <c r="BM1588" s="46"/>
      <c r="BN1588" s="46"/>
      <c r="BO1588" s="46"/>
    </row>
    <row r="1589">
      <c r="A1589" s="16" t="str">
        <f t="shared" si="14"/>
        <v/>
      </c>
      <c r="B1589" s="16" t="str">
        <f t="shared" si="15"/>
        <v/>
      </c>
      <c r="C1589" s="35" t="str">
        <f t="shared" si="16"/>
        <v/>
      </c>
      <c r="D1589" s="35" t="str">
        <f t="shared" si="17"/>
        <v/>
      </c>
      <c r="E1589" s="35" t="str">
        <f t="shared" si="18"/>
        <v/>
      </c>
      <c r="F1589" s="35" t="str">
        <f t="shared" si="19"/>
        <v/>
      </c>
      <c r="G1589" s="35" t="str">
        <f t="shared" si="20"/>
        <v/>
      </c>
      <c r="H1589" s="49"/>
      <c r="I1589" s="47" t="str">
        <f t="shared" si="21"/>
        <v/>
      </c>
      <c r="J1589" s="50"/>
      <c r="K1589" s="45" t="b">
        <v>0</v>
      </c>
      <c r="L1589" s="45"/>
      <c r="M1589" s="45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  <c r="AB1589" s="26"/>
      <c r="AC1589" s="26"/>
      <c r="AD1589" s="26"/>
      <c r="AE1589" s="26"/>
      <c r="AF1589" s="26"/>
      <c r="AG1589" s="26"/>
      <c r="AH1589" s="26"/>
      <c r="AI1589" s="26"/>
      <c r="AJ1589" s="26"/>
      <c r="AK1589" s="2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</row>
    <row r="1590">
      <c r="A1590" s="16" t="str">
        <f t="shared" si="14"/>
        <v/>
      </c>
      <c r="B1590" s="16" t="str">
        <f t="shared" si="15"/>
        <v/>
      </c>
      <c r="C1590" s="35" t="str">
        <f t="shared" si="16"/>
        <v/>
      </c>
      <c r="D1590" s="35" t="str">
        <f t="shared" si="17"/>
        <v/>
      </c>
      <c r="E1590" s="35" t="str">
        <f t="shared" si="18"/>
        <v/>
      </c>
      <c r="F1590" s="35" t="str">
        <f t="shared" si="19"/>
        <v/>
      </c>
      <c r="G1590" s="35" t="str">
        <f t="shared" si="20"/>
        <v/>
      </c>
      <c r="H1590" s="49"/>
      <c r="I1590" s="47" t="str">
        <f t="shared" si="21"/>
        <v/>
      </c>
      <c r="J1590" s="50"/>
      <c r="K1590" s="45" t="b">
        <v>0</v>
      </c>
      <c r="L1590" s="45"/>
      <c r="M1590" s="45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  <c r="AB1590" s="26"/>
      <c r="AC1590" s="26"/>
      <c r="AD1590" s="26"/>
      <c r="AE1590" s="26"/>
      <c r="AF1590" s="26"/>
      <c r="AG1590" s="26"/>
      <c r="AH1590" s="26"/>
      <c r="AI1590" s="26"/>
      <c r="AJ1590" s="26"/>
      <c r="AK1590" s="2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</row>
    <row r="1591">
      <c r="A1591" s="16" t="str">
        <f t="shared" si="14"/>
        <v/>
      </c>
      <c r="B1591" s="16" t="str">
        <f t="shared" si="15"/>
        <v/>
      </c>
      <c r="C1591" s="35" t="str">
        <f t="shared" si="16"/>
        <v/>
      </c>
      <c r="D1591" s="35" t="str">
        <f t="shared" si="17"/>
        <v/>
      </c>
      <c r="E1591" s="35" t="str">
        <f t="shared" si="18"/>
        <v/>
      </c>
      <c r="F1591" s="35" t="str">
        <f t="shared" si="19"/>
        <v/>
      </c>
      <c r="G1591" s="35" t="str">
        <f t="shared" si="20"/>
        <v/>
      </c>
      <c r="H1591" s="49"/>
      <c r="I1591" s="47" t="str">
        <f t="shared" si="21"/>
        <v/>
      </c>
      <c r="J1591" s="50"/>
      <c r="K1591" s="45" t="b">
        <v>0</v>
      </c>
      <c r="L1591" s="45"/>
      <c r="M1591" s="45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  <c r="AB1591" s="26"/>
      <c r="AC1591" s="26"/>
      <c r="AD1591" s="26"/>
      <c r="AE1591" s="26"/>
      <c r="AF1591" s="26"/>
      <c r="AG1591" s="26"/>
      <c r="AH1591" s="26"/>
      <c r="AI1591" s="26"/>
      <c r="AJ1591" s="26"/>
      <c r="AK1591" s="2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</row>
    <row r="1592">
      <c r="A1592" s="16" t="str">
        <f t="shared" si="14"/>
        <v/>
      </c>
      <c r="B1592" s="16" t="str">
        <f t="shared" si="15"/>
        <v/>
      </c>
      <c r="C1592" s="35" t="str">
        <f t="shared" si="16"/>
        <v/>
      </c>
      <c r="D1592" s="35" t="str">
        <f t="shared" si="17"/>
        <v/>
      </c>
      <c r="E1592" s="35" t="str">
        <f t="shared" si="18"/>
        <v/>
      </c>
      <c r="F1592" s="35" t="str">
        <f t="shared" si="19"/>
        <v/>
      </c>
      <c r="G1592" s="35" t="str">
        <f t="shared" si="20"/>
        <v/>
      </c>
      <c r="H1592" s="49"/>
      <c r="I1592" s="47" t="str">
        <f t="shared" si="21"/>
        <v/>
      </c>
      <c r="J1592" s="50"/>
      <c r="K1592" s="45" t="b">
        <v>0</v>
      </c>
      <c r="L1592" s="45"/>
      <c r="M1592" s="45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  <c r="AB1592" s="26"/>
      <c r="AC1592" s="26"/>
      <c r="AD1592" s="26"/>
      <c r="AE1592" s="26"/>
      <c r="AF1592" s="26"/>
      <c r="AG1592" s="26"/>
      <c r="AH1592" s="26"/>
      <c r="AI1592" s="26"/>
      <c r="AJ1592" s="26"/>
      <c r="AK1592" s="2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</row>
    <row r="1593">
      <c r="A1593" s="16" t="str">
        <f t="shared" si="14"/>
        <v/>
      </c>
      <c r="B1593" s="16" t="str">
        <f t="shared" si="15"/>
        <v/>
      </c>
      <c r="C1593" s="35" t="str">
        <f t="shared" si="16"/>
        <v/>
      </c>
      <c r="D1593" s="35" t="str">
        <f t="shared" si="17"/>
        <v/>
      </c>
      <c r="E1593" s="35" t="str">
        <f t="shared" si="18"/>
        <v/>
      </c>
      <c r="F1593" s="35" t="str">
        <f t="shared" si="19"/>
        <v/>
      </c>
      <c r="G1593" s="35" t="str">
        <f t="shared" si="20"/>
        <v/>
      </c>
      <c r="H1593" s="49"/>
      <c r="I1593" s="47" t="str">
        <f t="shared" si="21"/>
        <v/>
      </c>
      <c r="J1593" s="50"/>
      <c r="K1593" s="45" t="b">
        <v>0</v>
      </c>
      <c r="L1593" s="45"/>
      <c r="M1593" s="45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  <c r="AB1593" s="26"/>
      <c r="AC1593" s="26"/>
      <c r="AD1593" s="26"/>
      <c r="AE1593" s="26"/>
      <c r="AF1593" s="26"/>
      <c r="AG1593" s="26"/>
      <c r="AH1593" s="26"/>
      <c r="AI1593" s="26"/>
      <c r="AJ1593" s="26"/>
      <c r="AK1593" s="2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</row>
    <row r="1594">
      <c r="A1594" s="16" t="str">
        <f t="shared" si="14"/>
        <v/>
      </c>
      <c r="B1594" s="16" t="str">
        <f t="shared" si="15"/>
        <v/>
      </c>
      <c r="C1594" s="35" t="str">
        <f t="shared" si="16"/>
        <v/>
      </c>
      <c r="D1594" s="35" t="str">
        <f t="shared" si="17"/>
        <v/>
      </c>
      <c r="E1594" s="35" t="str">
        <f t="shared" si="18"/>
        <v/>
      </c>
      <c r="F1594" s="35" t="str">
        <f t="shared" si="19"/>
        <v/>
      </c>
      <c r="G1594" s="35" t="str">
        <f t="shared" si="20"/>
        <v/>
      </c>
      <c r="H1594" s="49"/>
      <c r="I1594" s="47" t="str">
        <f t="shared" si="21"/>
        <v/>
      </c>
      <c r="J1594" s="50"/>
      <c r="K1594" s="45" t="b">
        <v>0</v>
      </c>
      <c r="L1594" s="45"/>
      <c r="M1594" s="45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  <c r="AC1594" s="26"/>
      <c r="AD1594" s="26"/>
      <c r="AE1594" s="26"/>
      <c r="AF1594" s="26"/>
      <c r="AG1594" s="26"/>
      <c r="AH1594" s="26"/>
      <c r="AI1594" s="26"/>
      <c r="AJ1594" s="26"/>
      <c r="AK1594" s="2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</row>
    <row r="1595">
      <c r="A1595" s="16" t="str">
        <f t="shared" si="14"/>
        <v/>
      </c>
      <c r="B1595" s="16" t="str">
        <f t="shared" si="15"/>
        <v/>
      </c>
      <c r="C1595" s="35" t="str">
        <f t="shared" si="16"/>
        <v/>
      </c>
      <c r="D1595" s="35" t="str">
        <f t="shared" si="17"/>
        <v/>
      </c>
      <c r="E1595" s="35" t="str">
        <f t="shared" si="18"/>
        <v/>
      </c>
      <c r="F1595" s="35" t="str">
        <f t="shared" si="19"/>
        <v/>
      </c>
      <c r="G1595" s="35" t="str">
        <f t="shared" si="20"/>
        <v/>
      </c>
      <c r="H1595" s="49"/>
      <c r="I1595" s="47" t="str">
        <f t="shared" si="21"/>
        <v/>
      </c>
      <c r="J1595" s="50"/>
      <c r="K1595" s="45" t="b">
        <v>0</v>
      </c>
      <c r="L1595" s="45"/>
      <c r="M1595" s="45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  <c r="AC1595" s="26"/>
      <c r="AD1595" s="26"/>
      <c r="AE1595" s="26"/>
      <c r="AF1595" s="26"/>
      <c r="AG1595" s="26"/>
      <c r="AH1595" s="26"/>
      <c r="AI1595" s="26"/>
      <c r="AJ1595" s="26"/>
      <c r="AK1595" s="2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</row>
    <row r="1596">
      <c r="A1596" s="16" t="str">
        <f t="shared" si="14"/>
        <v/>
      </c>
      <c r="B1596" s="16" t="str">
        <f t="shared" si="15"/>
        <v/>
      </c>
      <c r="C1596" s="35" t="str">
        <f t="shared" si="16"/>
        <v/>
      </c>
      <c r="D1596" s="35" t="str">
        <f t="shared" si="17"/>
        <v/>
      </c>
      <c r="E1596" s="35" t="str">
        <f t="shared" si="18"/>
        <v/>
      </c>
      <c r="F1596" s="35" t="str">
        <f t="shared" si="19"/>
        <v/>
      </c>
      <c r="G1596" s="35" t="str">
        <f t="shared" si="20"/>
        <v/>
      </c>
      <c r="H1596" s="49"/>
      <c r="I1596" s="47" t="str">
        <f t="shared" si="21"/>
        <v/>
      </c>
      <c r="J1596" s="50"/>
      <c r="K1596" s="45" t="b">
        <v>0</v>
      </c>
      <c r="L1596" s="45"/>
      <c r="M1596" s="45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  <c r="AC1596" s="26"/>
      <c r="AD1596" s="26"/>
      <c r="AE1596" s="26"/>
      <c r="AF1596" s="26"/>
      <c r="AG1596" s="26"/>
      <c r="AH1596" s="26"/>
      <c r="AI1596" s="26"/>
      <c r="AJ1596" s="26"/>
      <c r="AK1596" s="2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</row>
    <row r="1597">
      <c r="A1597" s="16" t="str">
        <f t="shared" si="14"/>
        <v/>
      </c>
      <c r="B1597" s="16" t="str">
        <f t="shared" si="15"/>
        <v/>
      </c>
      <c r="C1597" s="35" t="str">
        <f t="shared" si="16"/>
        <v/>
      </c>
      <c r="D1597" s="35" t="str">
        <f t="shared" si="17"/>
        <v/>
      </c>
      <c r="E1597" s="35" t="str">
        <f t="shared" si="18"/>
        <v/>
      </c>
      <c r="F1597" s="35" t="str">
        <f t="shared" si="19"/>
        <v/>
      </c>
      <c r="G1597" s="35" t="str">
        <f t="shared" si="20"/>
        <v/>
      </c>
      <c r="H1597" s="49"/>
      <c r="I1597" s="47" t="str">
        <f t="shared" si="21"/>
        <v/>
      </c>
      <c r="J1597" s="50"/>
      <c r="K1597" s="45" t="b">
        <v>0</v>
      </c>
      <c r="L1597" s="45"/>
      <c r="M1597" s="45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  <c r="AC1597" s="26"/>
      <c r="AD1597" s="26"/>
      <c r="AE1597" s="26"/>
      <c r="AF1597" s="26"/>
      <c r="AG1597" s="26"/>
      <c r="AH1597" s="26"/>
      <c r="AI1597" s="26"/>
      <c r="AJ1597" s="26"/>
      <c r="AK1597" s="2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46"/>
      <c r="BM1597" s="46"/>
      <c r="BN1597" s="46"/>
      <c r="BO1597" s="46"/>
    </row>
    <row r="1598">
      <c r="A1598" s="16" t="str">
        <f t="shared" si="14"/>
        <v/>
      </c>
      <c r="B1598" s="16" t="str">
        <f t="shared" si="15"/>
        <v/>
      </c>
      <c r="C1598" s="35" t="str">
        <f t="shared" si="16"/>
        <v/>
      </c>
      <c r="D1598" s="35" t="str">
        <f t="shared" si="17"/>
        <v/>
      </c>
      <c r="E1598" s="35" t="str">
        <f t="shared" si="18"/>
        <v/>
      </c>
      <c r="F1598" s="35" t="str">
        <f t="shared" si="19"/>
        <v/>
      </c>
      <c r="G1598" s="35" t="str">
        <f t="shared" si="20"/>
        <v/>
      </c>
      <c r="H1598" s="49"/>
      <c r="I1598" s="47" t="str">
        <f t="shared" si="21"/>
        <v/>
      </c>
      <c r="J1598" s="50"/>
      <c r="K1598" s="45" t="b">
        <v>0</v>
      </c>
      <c r="L1598" s="45"/>
      <c r="M1598" s="45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  <c r="AC1598" s="26"/>
      <c r="AD1598" s="26"/>
      <c r="AE1598" s="26"/>
      <c r="AF1598" s="26"/>
      <c r="AG1598" s="26"/>
      <c r="AH1598" s="26"/>
      <c r="AI1598" s="26"/>
      <c r="AJ1598" s="26"/>
      <c r="AK1598" s="2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46"/>
      <c r="BM1598" s="46"/>
      <c r="BN1598" s="46"/>
      <c r="BO1598" s="46"/>
    </row>
    <row r="1599">
      <c r="A1599" s="16" t="str">
        <f t="shared" si="14"/>
        <v/>
      </c>
      <c r="B1599" s="16" t="str">
        <f t="shared" si="15"/>
        <v/>
      </c>
      <c r="C1599" s="35" t="str">
        <f t="shared" si="16"/>
        <v/>
      </c>
      <c r="D1599" s="35" t="str">
        <f t="shared" si="17"/>
        <v/>
      </c>
      <c r="E1599" s="35" t="str">
        <f t="shared" si="18"/>
        <v/>
      </c>
      <c r="F1599" s="35" t="str">
        <f t="shared" si="19"/>
        <v/>
      </c>
      <c r="G1599" s="35" t="str">
        <f t="shared" si="20"/>
        <v/>
      </c>
      <c r="H1599" s="49"/>
      <c r="I1599" s="47" t="str">
        <f t="shared" si="21"/>
        <v/>
      </c>
      <c r="J1599" s="50"/>
      <c r="K1599" s="45" t="b">
        <v>0</v>
      </c>
      <c r="L1599" s="45"/>
      <c r="M1599" s="45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  <c r="AC1599" s="26"/>
      <c r="AD1599" s="26"/>
      <c r="AE1599" s="26"/>
      <c r="AF1599" s="26"/>
      <c r="AG1599" s="26"/>
      <c r="AH1599" s="26"/>
      <c r="AI1599" s="26"/>
      <c r="AJ1599" s="26"/>
      <c r="AK1599" s="2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46"/>
      <c r="BM1599" s="46"/>
      <c r="BN1599" s="46"/>
      <c r="BO1599" s="46"/>
    </row>
    <row r="1600">
      <c r="A1600" s="16" t="str">
        <f t="shared" si="14"/>
        <v/>
      </c>
      <c r="B1600" s="16" t="str">
        <f t="shared" si="15"/>
        <v/>
      </c>
      <c r="C1600" s="35" t="str">
        <f t="shared" si="16"/>
        <v/>
      </c>
      <c r="D1600" s="35" t="str">
        <f t="shared" si="17"/>
        <v/>
      </c>
      <c r="E1600" s="35" t="str">
        <f t="shared" si="18"/>
        <v/>
      </c>
      <c r="F1600" s="35" t="str">
        <f t="shared" si="19"/>
        <v/>
      </c>
      <c r="G1600" s="35" t="str">
        <f t="shared" si="20"/>
        <v/>
      </c>
      <c r="H1600" s="49"/>
      <c r="I1600" s="47" t="str">
        <f t="shared" si="21"/>
        <v/>
      </c>
      <c r="J1600" s="50"/>
      <c r="K1600" s="45" t="b">
        <v>0</v>
      </c>
      <c r="L1600" s="45"/>
      <c r="M1600" s="45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  <c r="AC1600" s="26"/>
      <c r="AD1600" s="26"/>
      <c r="AE1600" s="26"/>
      <c r="AF1600" s="26"/>
      <c r="AG1600" s="26"/>
      <c r="AH1600" s="26"/>
      <c r="AI1600" s="26"/>
      <c r="AJ1600" s="26"/>
      <c r="AK1600" s="2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</row>
    <row r="1601">
      <c r="A1601" s="16" t="str">
        <f t="shared" si="14"/>
        <v/>
      </c>
      <c r="B1601" s="16" t="str">
        <f t="shared" si="15"/>
        <v/>
      </c>
      <c r="C1601" s="35" t="str">
        <f t="shared" si="16"/>
        <v/>
      </c>
      <c r="D1601" s="35" t="str">
        <f t="shared" si="17"/>
        <v/>
      </c>
      <c r="E1601" s="35" t="str">
        <f t="shared" si="18"/>
        <v/>
      </c>
      <c r="F1601" s="35" t="str">
        <f t="shared" si="19"/>
        <v/>
      </c>
      <c r="G1601" s="35" t="str">
        <f t="shared" si="20"/>
        <v/>
      </c>
      <c r="H1601" s="49"/>
      <c r="I1601" s="47" t="str">
        <f t="shared" si="21"/>
        <v/>
      </c>
      <c r="J1601" s="50"/>
      <c r="K1601" s="45" t="b">
        <v>0</v>
      </c>
      <c r="L1601" s="45"/>
      <c r="M1601" s="45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  <c r="AC1601" s="26"/>
      <c r="AD1601" s="26"/>
      <c r="AE1601" s="26"/>
      <c r="AF1601" s="26"/>
      <c r="AG1601" s="26"/>
      <c r="AH1601" s="26"/>
      <c r="AI1601" s="26"/>
      <c r="AJ1601" s="26"/>
      <c r="AK1601" s="2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</row>
    <row r="1602">
      <c r="A1602" s="16" t="str">
        <f t="shared" si="14"/>
        <v/>
      </c>
      <c r="B1602" s="16" t="str">
        <f t="shared" si="15"/>
        <v/>
      </c>
      <c r="C1602" s="35" t="str">
        <f t="shared" si="16"/>
        <v/>
      </c>
      <c r="D1602" s="35" t="str">
        <f t="shared" si="17"/>
        <v/>
      </c>
      <c r="E1602" s="35" t="str">
        <f t="shared" si="18"/>
        <v/>
      </c>
      <c r="F1602" s="35" t="str">
        <f t="shared" si="19"/>
        <v/>
      </c>
      <c r="G1602" s="35" t="str">
        <f t="shared" si="20"/>
        <v/>
      </c>
      <c r="H1602" s="49"/>
      <c r="I1602" s="47" t="str">
        <f t="shared" si="21"/>
        <v/>
      </c>
      <c r="J1602" s="50"/>
      <c r="K1602" s="45" t="b">
        <v>0</v>
      </c>
      <c r="L1602" s="45"/>
      <c r="M1602" s="45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  <c r="AC1602" s="26"/>
      <c r="AD1602" s="26"/>
      <c r="AE1602" s="26"/>
      <c r="AF1602" s="26"/>
      <c r="AG1602" s="26"/>
      <c r="AH1602" s="26"/>
      <c r="AI1602" s="26"/>
      <c r="AJ1602" s="26"/>
      <c r="AK1602" s="2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</row>
    <row r="1603">
      <c r="A1603" s="16" t="str">
        <f t="shared" si="14"/>
        <v/>
      </c>
      <c r="B1603" s="16" t="str">
        <f t="shared" si="15"/>
        <v/>
      </c>
      <c r="C1603" s="35" t="str">
        <f t="shared" si="16"/>
        <v/>
      </c>
      <c r="D1603" s="35" t="str">
        <f t="shared" si="17"/>
        <v/>
      </c>
      <c r="E1603" s="35" t="str">
        <f t="shared" si="18"/>
        <v/>
      </c>
      <c r="F1603" s="35" t="str">
        <f t="shared" si="19"/>
        <v/>
      </c>
      <c r="G1603" s="35" t="str">
        <f t="shared" si="20"/>
        <v/>
      </c>
      <c r="H1603" s="49"/>
      <c r="I1603" s="47" t="str">
        <f t="shared" si="21"/>
        <v/>
      </c>
      <c r="J1603" s="50"/>
      <c r="K1603" s="45" t="b">
        <v>0</v>
      </c>
      <c r="L1603" s="45"/>
      <c r="M1603" s="45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  <c r="AC1603" s="26"/>
      <c r="AD1603" s="26"/>
      <c r="AE1603" s="26"/>
      <c r="AF1603" s="26"/>
      <c r="AG1603" s="26"/>
      <c r="AH1603" s="26"/>
      <c r="AI1603" s="26"/>
      <c r="AJ1603" s="26"/>
      <c r="AK1603" s="2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</row>
    <row r="1604">
      <c r="A1604" s="16" t="str">
        <f t="shared" si="14"/>
        <v/>
      </c>
      <c r="B1604" s="16" t="str">
        <f t="shared" si="15"/>
        <v/>
      </c>
      <c r="C1604" s="35" t="str">
        <f t="shared" si="16"/>
        <v/>
      </c>
      <c r="D1604" s="35" t="str">
        <f t="shared" si="17"/>
        <v/>
      </c>
      <c r="E1604" s="35" t="str">
        <f t="shared" si="18"/>
        <v/>
      </c>
      <c r="F1604" s="35" t="str">
        <f t="shared" si="19"/>
        <v/>
      </c>
      <c r="G1604" s="35" t="str">
        <f t="shared" si="20"/>
        <v/>
      </c>
      <c r="H1604" s="49"/>
      <c r="I1604" s="47" t="str">
        <f t="shared" si="21"/>
        <v/>
      </c>
      <c r="J1604" s="50"/>
      <c r="K1604" s="45" t="b">
        <v>0</v>
      </c>
      <c r="L1604" s="45"/>
      <c r="M1604" s="45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  <c r="AB1604" s="26"/>
      <c r="AC1604" s="26"/>
      <c r="AD1604" s="26"/>
      <c r="AE1604" s="26"/>
      <c r="AF1604" s="26"/>
      <c r="AG1604" s="26"/>
      <c r="AH1604" s="26"/>
      <c r="AI1604" s="26"/>
      <c r="AJ1604" s="26"/>
      <c r="AK1604" s="2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</row>
    <row r="1605">
      <c r="A1605" s="16" t="str">
        <f t="shared" si="14"/>
        <v/>
      </c>
      <c r="B1605" s="16" t="str">
        <f t="shared" si="15"/>
        <v/>
      </c>
      <c r="C1605" s="35" t="str">
        <f t="shared" si="16"/>
        <v/>
      </c>
      <c r="D1605" s="35" t="str">
        <f t="shared" si="17"/>
        <v/>
      </c>
      <c r="E1605" s="35" t="str">
        <f t="shared" si="18"/>
        <v/>
      </c>
      <c r="F1605" s="35" t="str">
        <f t="shared" si="19"/>
        <v/>
      </c>
      <c r="G1605" s="35" t="str">
        <f t="shared" si="20"/>
        <v/>
      </c>
      <c r="H1605" s="49"/>
      <c r="I1605" s="47" t="str">
        <f t="shared" si="21"/>
        <v/>
      </c>
      <c r="J1605" s="50"/>
      <c r="K1605" s="45" t="b">
        <v>0</v>
      </c>
      <c r="L1605" s="45"/>
      <c r="M1605" s="45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  <c r="AB1605" s="26"/>
      <c r="AC1605" s="26"/>
      <c r="AD1605" s="26"/>
      <c r="AE1605" s="26"/>
      <c r="AF1605" s="26"/>
      <c r="AG1605" s="26"/>
      <c r="AH1605" s="26"/>
      <c r="AI1605" s="26"/>
      <c r="AJ1605" s="26"/>
      <c r="AK1605" s="2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</row>
    <row r="1606">
      <c r="A1606" s="16" t="str">
        <f t="shared" si="14"/>
        <v/>
      </c>
      <c r="B1606" s="16" t="str">
        <f t="shared" si="15"/>
        <v/>
      </c>
      <c r="C1606" s="35" t="str">
        <f t="shared" si="16"/>
        <v/>
      </c>
      <c r="D1606" s="35" t="str">
        <f t="shared" si="17"/>
        <v/>
      </c>
      <c r="E1606" s="35" t="str">
        <f t="shared" si="18"/>
        <v/>
      </c>
      <c r="F1606" s="35" t="str">
        <f t="shared" si="19"/>
        <v/>
      </c>
      <c r="G1606" s="35" t="str">
        <f t="shared" si="20"/>
        <v/>
      </c>
      <c r="H1606" s="49"/>
      <c r="I1606" s="47" t="str">
        <f t="shared" si="21"/>
        <v/>
      </c>
      <c r="J1606" s="50"/>
      <c r="K1606" s="45" t="b">
        <v>0</v>
      </c>
      <c r="L1606" s="45"/>
      <c r="M1606" s="45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  <c r="AB1606" s="26"/>
      <c r="AC1606" s="26"/>
      <c r="AD1606" s="26"/>
      <c r="AE1606" s="26"/>
      <c r="AF1606" s="26"/>
      <c r="AG1606" s="26"/>
      <c r="AH1606" s="26"/>
      <c r="AI1606" s="26"/>
      <c r="AJ1606" s="26"/>
      <c r="AK1606" s="2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</row>
    <row r="1607">
      <c r="A1607" s="16" t="str">
        <f t="shared" si="14"/>
        <v/>
      </c>
      <c r="B1607" s="16" t="str">
        <f t="shared" si="15"/>
        <v/>
      </c>
      <c r="C1607" s="35" t="str">
        <f t="shared" si="16"/>
        <v/>
      </c>
      <c r="D1607" s="35" t="str">
        <f t="shared" si="17"/>
        <v/>
      </c>
      <c r="E1607" s="35" t="str">
        <f t="shared" si="18"/>
        <v/>
      </c>
      <c r="F1607" s="35" t="str">
        <f t="shared" si="19"/>
        <v/>
      </c>
      <c r="G1607" s="35" t="str">
        <f t="shared" si="20"/>
        <v/>
      </c>
      <c r="H1607" s="49"/>
      <c r="I1607" s="47" t="str">
        <f t="shared" si="21"/>
        <v/>
      </c>
      <c r="J1607" s="50"/>
      <c r="K1607" s="45" t="b">
        <v>0</v>
      </c>
      <c r="L1607" s="45"/>
      <c r="M1607" s="45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  <c r="AB1607" s="26"/>
      <c r="AC1607" s="26"/>
      <c r="AD1607" s="26"/>
      <c r="AE1607" s="26"/>
      <c r="AF1607" s="26"/>
      <c r="AG1607" s="26"/>
      <c r="AH1607" s="26"/>
      <c r="AI1607" s="26"/>
      <c r="AJ1607" s="26"/>
      <c r="AK1607" s="2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</row>
    <row r="1608">
      <c r="A1608" s="16" t="str">
        <f t="shared" si="14"/>
        <v/>
      </c>
      <c r="B1608" s="16" t="str">
        <f t="shared" si="15"/>
        <v/>
      </c>
      <c r="C1608" s="35" t="str">
        <f t="shared" si="16"/>
        <v/>
      </c>
      <c r="D1608" s="35" t="str">
        <f t="shared" si="17"/>
        <v/>
      </c>
      <c r="E1608" s="35" t="str">
        <f t="shared" si="18"/>
        <v/>
      </c>
      <c r="F1608" s="35" t="str">
        <f t="shared" si="19"/>
        <v/>
      </c>
      <c r="G1608" s="35" t="str">
        <f t="shared" si="20"/>
        <v/>
      </c>
      <c r="H1608" s="49"/>
      <c r="I1608" s="47" t="str">
        <f t="shared" si="21"/>
        <v/>
      </c>
      <c r="J1608" s="50"/>
      <c r="K1608" s="45" t="b">
        <v>0</v>
      </c>
      <c r="L1608" s="45"/>
      <c r="M1608" s="45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  <c r="AB1608" s="26"/>
      <c r="AC1608" s="26"/>
      <c r="AD1608" s="26"/>
      <c r="AE1608" s="26"/>
      <c r="AF1608" s="26"/>
      <c r="AG1608" s="26"/>
      <c r="AH1608" s="26"/>
      <c r="AI1608" s="26"/>
      <c r="AJ1608" s="26"/>
      <c r="AK1608" s="2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</row>
    <row r="1609">
      <c r="A1609" s="16" t="str">
        <f t="shared" si="14"/>
        <v/>
      </c>
      <c r="B1609" s="16" t="str">
        <f t="shared" si="15"/>
        <v/>
      </c>
      <c r="C1609" s="35" t="str">
        <f t="shared" si="16"/>
        <v/>
      </c>
      <c r="D1609" s="35" t="str">
        <f t="shared" si="17"/>
        <v/>
      </c>
      <c r="E1609" s="35" t="str">
        <f t="shared" si="18"/>
        <v/>
      </c>
      <c r="F1609" s="35" t="str">
        <f t="shared" si="19"/>
        <v/>
      </c>
      <c r="G1609" s="35" t="str">
        <f t="shared" si="20"/>
        <v/>
      </c>
      <c r="H1609" s="49"/>
      <c r="I1609" s="47" t="str">
        <f t="shared" si="21"/>
        <v/>
      </c>
      <c r="J1609" s="50"/>
      <c r="K1609" s="45" t="b">
        <v>0</v>
      </c>
      <c r="L1609" s="45"/>
      <c r="M1609" s="45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  <c r="AB1609" s="26"/>
      <c r="AC1609" s="26"/>
      <c r="AD1609" s="26"/>
      <c r="AE1609" s="26"/>
      <c r="AF1609" s="26"/>
      <c r="AG1609" s="26"/>
      <c r="AH1609" s="26"/>
      <c r="AI1609" s="26"/>
      <c r="AJ1609" s="26"/>
      <c r="AK1609" s="2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</row>
    <row r="1610">
      <c r="A1610" s="16" t="str">
        <f t="shared" si="14"/>
        <v/>
      </c>
      <c r="B1610" s="16" t="str">
        <f t="shared" si="15"/>
        <v/>
      </c>
      <c r="C1610" s="35" t="str">
        <f t="shared" si="16"/>
        <v/>
      </c>
      <c r="D1610" s="35" t="str">
        <f t="shared" si="17"/>
        <v/>
      </c>
      <c r="E1610" s="35" t="str">
        <f t="shared" si="18"/>
        <v/>
      </c>
      <c r="F1610" s="35" t="str">
        <f t="shared" si="19"/>
        <v/>
      </c>
      <c r="G1610" s="35" t="str">
        <f t="shared" si="20"/>
        <v/>
      </c>
      <c r="H1610" s="49"/>
      <c r="I1610" s="47" t="str">
        <f t="shared" si="21"/>
        <v/>
      </c>
      <c r="J1610" s="50"/>
      <c r="K1610" s="45" t="b">
        <v>0</v>
      </c>
      <c r="L1610" s="45"/>
      <c r="M1610" s="45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  <c r="AC1610" s="26"/>
      <c r="AD1610" s="26"/>
      <c r="AE1610" s="26"/>
      <c r="AF1610" s="26"/>
      <c r="AG1610" s="26"/>
      <c r="AH1610" s="26"/>
      <c r="AI1610" s="26"/>
      <c r="AJ1610" s="26"/>
      <c r="AK1610" s="2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</row>
    <row r="1611">
      <c r="A1611" s="16" t="str">
        <f t="shared" si="14"/>
        <v/>
      </c>
      <c r="B1611" s="16" t="str">
        <f t="shared" si="15"/>
        <v/>
      </c>
      <c r="C1611" s="35" t="str">
        <f t="shared" si="16"/>
        <v/>
      </c>
      <c r="D1611" s="35" t="str">
        <f t="shared" si="17"/>
        <v/>
      </c>
      <c r="E1611" s="35" t="str">
        <f t="shared" si="18"/>
        <v/>
      </c>
      <c r="F1611" s="35" t="str">
        <f t="shared" si="19"/>
        <v/>
      </c>
      <c r="G1611" s="35" t="str">
        <f t="shared" si="20"/>
        <v/>
      </c>
      <c r="H1611" s="49"/>
      <c r="I1611" s="47" t="str">
        <f t="shared" si="21"/>
        <v/>
      </c>
      <c r="J1611" s="50"/>
      <c r="K1611" s="45" t="b">
        <v>0</v>
      </c>
      <c r="L1611" s="45"/>
      <c r="M1611" s="45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  <c r="AC1611" s="26"/>
      <c r="AD1611" s="26"/>
      <c r="AE1611" s="26"/>
      <c r="AF1611" s="26"/>
      <c r="AG1611" s="26"/>
      <c r="AH1611" s="26"/>
      <c r="AI1611" s="26"/>
      <c r="AJ1611" s="26"/>
      <c r="AK1611" s="2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</row>
    <row r="1612">
      <c r="A1612" s="16" t="str">
        <f t="shared" si="14"/>
        <v/>
      </c>
      <c r="B1612" s="16" t="str">
        <f t="shared" si="15"/>
        <v/>
      </c>
      <c r="C1612" s="35" t="str">
        <f t="shared" si="16"/>
        <v/>
      </c>
      <c r="D1612" s="35" t="str">
        <f t="shared" si="17"/>
        <v/>
      </c>
      <c r="E1612" s="35" t="str">
        <f t="shared" si="18"/>
        <v/>
      </c>
      <c r="F1612" s="35" t="str">
        <f t="shared" si="19"/>
        <v/>
      </c>
      <c r="G1612" s="35" t="str">
        <f t="shared" si="20"/>
        <v/>
      </c>
      <c r="H1612" s="49"/>
      <c r="I1612" s="47" t="str">
        <f t="shared" si="21"/>
        <v/>
      </c>
      <c r="J1612" s="50"/>
      <c r="K1612" s="45" t="b">
        <v>0</v>
      </c>
      <c r="L1612" s="45"/>
      <c r="M1612" s="45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  <c r="AC1612" s="26"/>
      <c r="AD1612" s="26"/>
      <c r="AE1612" s="26"/>
      <c r="AF1612" s="26"/>
      <c r="AG1612" s="26"/>
      <c r="AH1612" s="26"/>
      <c r="AI1612" s="26"/>
      <c r="AJ1612" s="26"/>
      <c r="AK1612" s="2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</row>
    <row r="1613">
      <c r="A1613" s="16" t="str">
        <f t="shared" si="14"/>
        <v/>
      </c>
      <c r="B1613" s="16" t="str">
        <f t="shared" si="15"/>
        <v/>
      </c>
      <c r="C1613" s="35" t="str">
        <f t="shared" si="16"/>
        <v/>
      </c>
      <c r="D1613" s="35" t="str">
        <f t="shared" si="17"/>
        <v/>
      </c>
      <c r="E1613" s="35" t="str">
        <f t="shared" si="18"/>
        <v/>
      </c>
      <c r="F1613" s="35" t="str">
        <f t="shared" si="19"/>
        <v/>
      </c>
      <c r="G1613" s="35" t="str">
        <f t="shared" si="20"/>
        <v/>
      </c>
      <c r="H1613" s="49"/>
      <c r="I1613" s="47" t="str">
        <f t="shared" si="21"/>
        <v/>
      </c>
      <c r="J1613" s="50"/>
      <c r="K1613" s="45" t="b">
        <v>0</v>
      </c>
      <c r="L1613" s="45"/>
      <c r="M1613" s="45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  <c r="AC1613" s="26"/>
      <c r="AD1613" s="26"/>
      <c r="AE1613" s="26"/>
      <c r="AF1613" s="26"/>
      <c r="AG1613" s="26"/>
      <c r="AH1613" s="26"/>
      <c r="AI1613" s="26"/>
      <c r="AJ1613" s="26"/>
      <c r="AK1613" s="2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</row>
    <row r="1614">
      <c r="A1614" s="16" t="str">
        <f t="shared" si="14"/>
        <v/>
      </c>
      <c r="B1614" s="16" t="str">
        <f t="shared" si="15"/>
        <v/>
      </c>
      <c r="C1614" s="35" t="str">
        <f t="shared" si="16"/>
        <v/>
      </c>
      <c r="D1614" s="35" t="str">
        <f t="shared" si="17"/>
        <v/>
      </c>
      <c r="E1614" s="35" t="str">
        <f t="shared" si="18"/>
        <v/>
      </c>
      <c r="F1614" s="35" t="str">
        <f t="shared" si="19"/>
        <v/>
      </c>
      <c r="G1614" s="35" t="str">
        <f t="shared" si="20"/>
        <v/>
      </c>
      <c r="H1614" s="49"/>
      <c r="I1614" s="47" t="str">
        <f t="shared" si="21"/>
        <v/>
      </c>
      <c r="J1614" s="50"/>
      <c r="K1614" s="45" t="b">
        <v>0</v>
      </c>
      <c r="L1614" s="45"/>
      <c r="M1614" s="45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  <c r="AC1614" s="26"/>
      <c r="AD1614" s="26"/>
      <c r="AE1614" s="26"/>
      <c r="AF1614" s="26"/>
      <c r="AG1614" s="26"/>
      <c r="AH1614" s="26"/>
      <c r="AI1614" s="26"/>
      <c r="AJ1614" s="26"/>
      <c r="AK1614" s="2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</row>
    <row r="1615">
      <c r="A1615" s="16" t="str">
        <f t="shared" si="14"/>
        <v/>
      </c>
      <c r="B1615" s="16" t="str">
        <f t="shared" si="15"/>
        <v/>
      </c>
      <c r="C1615" s="35" t="str">
        <f t="shared" si="16"/>
        <v/>
      </c>
      <c r="D1615" s="35" t="str">
        <f t="shared" si="17"/>
        <v/>
      </c>
      <c r="E1615" s="35" t="str">
        <f t="shared" si="18"/>
        <v/>
      </c>
      <c r="F1615" s="35" t="str">
        <f t="shared" si="19"/>
        <v/>
      </c>
      <c r="G1615" s="35" t="str">
        <f t="shared" si="20"/>
        <v/>
      </c>
      <c r="H1615" s="49"/>
      <c r="I1615" s="47" t="str">
        <f t="shared" si="21"/>
        <v/>
      </c>
      <c r="J1615" s="50"/>
      <c r="K1615" s="45" t="b">
        <v>0</v>
      </c>
      <c r="L1615" s="45"/>
      <c r="M1615" s="45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  <c r="AC1615" s="26"/>
      <c r="AD1615" s="26"/>
      <c r="AE1615" s="26"/>
      <c r="AF1615" s="26"/>
      <c r="AG1615" s="26"/>
      <c r="AH1615" s="26"/>
      <c r="AI1615" s="26"/>
      <c r="AJ1615" s="26"/>
      <c r="AK1615" s="2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</row>
    <row r="1616">
      <c r="A1616" s="16" t="str">
        <f t="shared" si="14"/>
        <v/>
      </c>
      <c r="B1616" s="16" t="str">
        <f t="shared" si="15"/>
        <v/>
      </c>
      <c r="C1616" s="35" t="str">
        <f t="shared" si="16"/>
        <v/>
      </c>
      <c r="D1616" s="35" t="str">
        <f t="shared" si="17"/>
        <v/>
      </c>
      <c r="E1616" s="35" t="str">
        <f t="shared" si="18"/>
        <v/>
      </c>
      <c r="F1616" s="35" t="str">
        <f t="shared" si="19"/>
        <v/>
      </c>
      <c r="G1616" s="35" t="str">
        <f t="shared" si="20"/>
        <v/>
      </c>
      <c r="H1616" s="49"/>
      <c r="I1616" s="47" t="str">
        <f t="shared" si="21"/>
        <v/>
      </c>
      <c r="J1616" s="50"/>
      <c r="K1616" s="45" t="b">
        <v>0</v>
      </c>
      <c r="L1616" s="45"/>
      <c r="M1616" s="45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  <c r="AC1616" s="26"/>
      <c r="AD1616" s="26"/>
      <c r="AE1616" s="26"/>
      <c r="AF1616" s="26"/>
      <c r="AG1616" s="26"/>
      <c r="AH1616" s="26"/>
      <c r="AI1616" s="26"/>
      <c r="AJ1616" s="26"/>
      <c r="AK1616" s="2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</row>
    <row r="1617">
      <c r="A1617" s="16" t="str">
        <f t="shared" si="14"/>
        <v/>
      </c>
      <c r="B1617" s="16" t="str">
        <f t="shared" si="15"/>
        <v/>
      </c>
      <c r="C1617" s="35" t="str">
        <f t="shared" si="16"/>
        <v/>
      </c>
      <c r="D1617" s="35" t="str">
        <f t="shared" si="17"/>
        <v/>
      </c>
      <c r="E1617" s="35" t="str">
        <f t="shared" si="18"/>
        <v/>
      </c>
      <c r="F1617" s="35" t="str">
        <f t="shared" si="19"/>
        <v/>
      </c>
      <c r="G1617" s="35" t="str">
        <f t="shared" si="20"/>
        <v/>
      </c>
      <c r="H1617" s="49"/>
      <c r="I1617" s="47" t="str">
        <f t="shared" si="21"/>
        <v/>
      </c>
      <c r="J1617" s="50"/>
      <c r="K1617" s="45" t="b">
        <v>0</v>
      </c>
      <c r="L1617" s="45"/>
      <c r="M1617" s="45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  <c r="AC1617" s="26"/>
      <c r="AD1617" s="26"/>
      <c r="AE1617" s="26"/>
      <c r="AF1617" s="26"/>
      <c r="AG1617" s="26"/>
      <c r="AH1617" s="26"/>
      <c r="AI1617" s="26"/>
      <c r="AJ1617" s="26"/>
      <c r="AK1617" s="2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</row>
    <row r="1618">
      <c r="A1618" s="16" t="str">
        <f t="shared" si="14"/>
        <v/>
      </c>
      <c r="B1618" s="16" t="str">
        <f t="shared" si="15"/>
        <v/>
      </c>
      <c r="C1618" s="35" t="str">
        <f t="shared" si="16"/>
        <v/>
      </c>
      <c r="D1618" s="35" t="str">
        <f t="shared" si="17"/>
        <v/>
      </c>
      <c r="E1618" s="35" t="str">
        <f t="shared" si="18"/>
        <v/>
      </c>
      <c r="F1618" s="35" t="str">
        <f t="shared" si="19"/>
        <v/>
      </c>
      <c r="G1618" s="35" t="str">
        <f t="shared" si="20"/>
        <v/>
      </c>
      <c r="H1618" s="49"/>
      <c r="I1618" s="47" t="str">
        <f t="shared" si="21"/>
        <v/>
      </c>
      <c r="J1618" s="50"/>
      <c r="K1618" s="45" t="b">
        <v>0</v>
      </c>
      <c r="L1618" s="45"/>
      <c r="M1618" s="45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  <c r="AC1618" s="26"/>
      <c r="AD1618" s="26"/>
      <c r="AE1618" s="26"/>
      <c r="AF1618" s="26"/>
      <c r="AG1618" s="26"/>
      <c r="AH1618" s="26"/>
      <c r="AI1618" s="26"/>
      <c r="AJ1618" s="26"/>
      <c r="AK1618" s="2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</row>
    <row r="1619">
      <c r="A1619" s="16" t="str">
        <f t="shared" si="14"/>
        <v/>
      </c>
      <c r="B1619" s="16" t="str">
        <f t="shared" si="15"/>
        <v/>
      </c>
      <c r="C1619" s="35" t="str">
        <f t="shared" si="16"/>
        <v/>
      </c>
      <c r="D1619" s="35" t="str">
        <f t="shared" si="17"/>
        <v/>
      </c>
      <c r="E1619" s="35" t="str">
        <f t="shared" si="18"/>
        <v/>
      </c>
      <c r="F1619" s="35" t="str">
        <f t="shared" si="19"/>
        <v/>
      </c>
      <c r="G1619" s="35" t="str">
        <f t="shared" si="20"/>
        <v/>
      </c>
      <c r="H1619" s="49"/>
      <c r="I1619" s="47" t="str">
        <f t="shared" si="21"/>
        <v/>
      </c>
      <c r="J1619" s="50"/>
      <c r="K1619" s="45" t="b">
        <v>0</v>
      </c>
      <c r="L1619" s="45"/>
      <c r="M1619" s="45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</row>
    <row r="1620">
      <c r="A1620" s="16" t="str">
        <f t="shared" si="14"/>
        <v/>
      </c>
      <c r="B1620" s="16" t="str">
        <f t="shared" si="15"/>
        <v/>
      </c>
      <c r="C1620" s="35" t="str">
        <f t="shared" si="16"/>
        <v/>
      </c>
      <c r="D1620" s="35" t="str">
        <f t="shared" si="17"/>
        <v/>
      </c>
      <c r="E1620" s="35" t="str">
        <f t="shared" si="18"/>
        <v/>
      </c>
      <c r="F1620" s="35" t="str">
        <f t="shared" si="19"/>
        <v/>
      </c>
      <c r="G1620" s="35" t="str">
        <f t="shared" si="20"/>
        <v/>
      </c>
      <c r="H1620" s="49"/>
      <c r="I1620" s="47" t="str">
        <f t="shared" si="21"/>
        <v/>
      </c>
      <c r="J1620" s="50"/>
      <c r="K1620" s="45" t="b">
        <v>0</v>
      </c>
      <c r="L1620" s="45"/>
      <c r="M1620" s="45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  <c r="AC1620" s="26"/>
      <c r="AD1620" s="26"/>
      <c r="AE1620" s="26"/>
      <c r="AF1620" s="26"/>
      <c r="AG1620" s="26"/>
      <c r="AH1620" s="26"/>
      <c r="AI1620" s="26"/>
      <c r="AJ1620" s="26"/>
      <c r="AK1620" s="2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</row>
    <row r="1621">
      <c r="A1621" s="16" t="str">
        <f t="shared" si="14"/>
        <v/>
      </c>
      <c r="B1621" s="16" t="str">
        <f t="shared" si="15"/>
        <v/>
      </c>
      <c r="C1621" s="35" t="str">
        <f t="shared" si="16"/>
        <v/>
      </c>
      <c r="D1621" s="35" t="str">
        <f t="shared" si="17"/>
        <v/>
      </c>
      <c r="E1621" s="35" t="str">
        <f t="shared" si="18"/>
        <v/>
      </c>
      <c r="F1621" s="35" t="str">
        <f t="shared" si="19"/>
        <v/>
      </c>
      <c r="G1621" s="35" t="str">
        <f t="shared" si="20"/>
        <v/>
      </c>
      <c r="H1621" s="49"/>
      <c r="I1621" s="47" t="str">
        <f t="shared" si="21"/>
        <v/>
      </c>
      <c r="J1621" s="50"/>
      <c r="K1621" s="45" t="b">
        <v>0</v>
      </c>
      <c r="L1621" s="45"/>
      <c r="M1621" s="45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  <c r="AC1621" s="26"/>
      <c r="AD1621" s="26"/>
      <c r="AE1621" s="26"/>
      <c r="AF1621" s="26"/>
      <c r="AG1621" s="26"/>
      <c r="AH1621" s="26"/>
      <c r="AI1621" s="26"/>
      <c r="AJ1621" s="26"/>
      <c r="AK1621" s="2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</row>
    <row r="1622">
      <c r="A1622" s="16" t="str">
        <f t="shared" si="14"/>
        <v/>
      </c>
      <c r="B1622" s="16" t="str">
        <f t="shared" si="15"/>
        <v/>
      </c>
      <c r="C1622" s="35" t="str">
        <f t="shared" si="16"/>
        <v/>
      </c>
      <c r="D1622" s="35" t="str">
        <f t="shared" si="17"/>
        <v/>
      </c>
      <c r="E1622" s="35" t="str">
        <f t="shared" si="18"/>
        <v/>
      </c>
      <c r="F1622" s="35" t="str">
        <f t="shared" si="19"/>
        <v/>
      </c>
      <c r="G1622" s="35" t="str">
        <f t="shared" si="20"/>
        <v/>
      </c>
      <c r="H1622" s="49"/>
      <c r="I1622" s="47" t="str">
        <f t="shared" si="21"/>
        <v/>
      </c>
      <c r="J1622" s="50"/>
      <c r="K1622" s="45" t="b">
        <v>0</v>
      </c>
      <c r="L1622" s="45"/>
      <c r="M1622" s="45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  <c r="AC1622" s="26"/>
      <c r="AD1622" s="26"/>
      <c r="AE1622" s="26"/>
      <c r="AF1622" s="26"/>
      <c r="AG1622" s="26"/>
      <c r="AH1622" s="26"/>
      <c r="AI1622" s="26"/>
      <c r="AJ1622" s="26"/>
      <c r="AK1622" s="2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</row>
    <row r="1623">
      <c r="A1623" s="16" t="str">
        <f t="shared" si="14"/>
        <v/>
      </c>
      <c r="B1623" s="16" t="str">
        <f t="shared" si="15"/>
        <v/>
      </c>
      <c r="C1623" s="35" t="str">
        <f t="shared" si="16"/>
        <v/>
      </c>
      <c r="D1623" s="35" t="str">
        <f t="shared" si="17"/>
        <v/>
      </c>
      <c r="E1623" s="35" t="str">
        <f t="shared" si="18"/>
        <v/>
      </c>
      <c r="F1623" s="35" t="str">
        <f t="shared" si="19"/>
        <v/>
      </c>
      <c r="G1623" s="35" t="str">
        <f t="shared" si="20"/>
        <v/>
      </c>
      <c r="H1623" s="49"/>
      <c r="I1623" s="47" t="str">
        <f t="shared" si="21"/>
        <v/>
      </c>
      <c r="J1623" s="50"/>
      <c r="K1623" s="45" t="b">
        <v>0</v>
      </c>
      <c r="L1623" s="45"/>
      <c r="M1623" s="45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  <c r="AC1623" s="26"/>
      <c r="AD1623" s="26"/>
      <c r="AE1623" s="26"/>
      <c r="AF1623" s="26"/>
      <c r="AG1623" s="26"/>
      <c r="AH1623" s="26"/>
      <c r="AI1623" s="26"/>
      <c r="AJ1623" s="26"/>
      <c r="AK1623" s="2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</row>
    <row r="1624">
      <c r="A1624" s="16" t="str">
        <f t="shared" si="14"/>
        <v/>
      </c>
      <c r="B1624" s="16" t="str">
        <f t="shared" si="15"/>
        <v/>
      </c>
      <c r="C1624" s="35" t="str">
        <f t="shared" si="16"/>
        <v/>
      </c>
      <c r="D1624" s="35" t="str">
        <f t="shared" si="17"/>
        <v/>
      </c>
      <c r="E1624" s="35" t="str">
        <f t="shared" si="18"/>
        <v/>
      </c>
      <c r="F1624" s="35" t="str">
        <f t="shared" si="19"/>
        <v/>
      </c>
      <c r="G1624" s="35" t="str">
        <f t="shared" si="20"/>
        <v/>
      </c>
      <c r="H1624" s="49"/>
      <c r="I1624" s="47" t="str">
        <f t="shared" si="21"/>
        <v/>
      </c>
      <c r="J1624" s="50"/>
      <c r="K1624" s="45" t="b">
        <v>0</v>
      </c>
      <c r="L1624" s="45"/>
      <c r="M1624" s="45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  <c r="AC1624" s="26"/>
      <c r="AD1624" s="26"/>
      <c r="AE1624" s="26"/>
      <c r="AF1624" s="26"/>
      <c r="AG1624" s="26"/>
      <c r="AH1624" s="26"/>
      <c r="AI1624" s="26"/>
      <c r="AJ1624" s="26"/>
      <c r="AK1624" s="2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</row>
    <row r="1625">
      <c r="A1625" s="16" t="str">
        <f t="shared" si="14"/>
        <v/>
      </c>
      <c r="B1625" s="16" t="str">
        <f t="shared" si="15"/>
        <v/>
      </c>
      <c r="C1625" s="35" t="str">
        <f t="shared" si="16"/>
        <v/>
      </c>
      <c r="D1625" s="35" t="str">
        <f t="shared" si="17"/>
        <v/>
      </c>
      <c r="E1625" s="35" t="str">
        <f t="shared" si="18"/>
        <v/>
      </c>
      <c r="F1625" s="35" t="str">
        <f t="shared" si="19"/>
        <v/>
      </c>
      <c r="G1625" s="35" t="str">
        <f t="shared" si="20"/>
        <v/>
      </c>
      <c r="H1625" s="49"/>
      <c r="I1625" s="47" t="str">
        <f t="shared" si="21"/>
        <v/>
      </c>
      <c r="J1625" s="50"/>
      <c r="K1625" s="45" t="b">
        <v>0</v>
      </c>
      <c r="L1625" s="45"/>
      <c r="M1625" s="45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  <c r="AC1625" s="26"/>
      <c r="AD1625" s="26"/>
      <c r="AE1625" s="26"/>
      <c r="AF1625" s="26"/>
      <c r="AG1625" s="26"/>
      <c r="AH1625" s="26"/>
      <c r="AI1625" s="26"/>
      <c r="AJ1625" s="26"/>
      <c r="AK1625" s="2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</row>
    <row r="1626">
      <c r="A1626" s="16" t="str">
        <f t="shared" si="14"/>
        <v/>
      </c>
      <c r="B1626" s="16" t="str">
        <f t="shared" si="15"/>
        <v/>
      </c>
      <c r="C1626" s="35" t="str">
        <f t="shared" si="16"/>
        <v/>
      </c>
      <c r="D1626" s="35" t="str">
        <f t="shared" si="17"/>
        <v/>
      </c>
      <c r="E1626" s="35" t="str">
        <f t="shared" si="18"/>
        <v/>
      </c>
      <c r="F1626" s="35" t="str">
        <f t="shared" si="19"/>
        <v/>
      </c>
      <c r="G1626" s="35" t="str">
        <f t="shared" si="20"/>
        <v/>
      </c>
      <c r="H1626" s="49"/>
      <c r="I1626" s="47" t="str">
        <f t="shared" si="21"/>
        <v/>
      </c>
      <c r="J1626" s="50"/>
      <c r="K1626" s="45" t="b">
        <v>0</v>
      </c>
      <c r="L1626" s="45"/>
      <c r="M1626" s="45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  <c r="AC1626" s="26"/>
      <c r="AD1626" s="26"/>
      <c r="AE1626" s="26"/>
      <c r="AF1626" s="26"/>
      <c r="AG1626" s="26"/>
      <c r="AH1626" s="26"/>
      <c r="AI1626" s="26"/>
      <c r="AJ1626" s="26"/>
      <c r="AK1626" s="2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</row>
    <row r="1627">
      <c r="A1627" s="16" t="str">
        <f t="shared" si="14"/>
        <v/>
      </c>
      <c r="B1627" s="16" t="str">
        <f t="shared" si="15"/>
        <v/>
      </c>
      <c r="C1627" s="35" t="str">
        <f t="shared" si="16"/>
        <v/>
      </c>
      <c r="D1627" s="35" t="str">
        <f t="shared" si="17"/>
        <v/>
      </c>
      <c r="E1627" s="35" t="str">
        <f t="shared" si="18"/>
        <v/>
      </c>
      <c r="F1627" s="35" t="str">
        <f t="shared" si="19"/>
        <v/>
      </c>
      <c r="G1627" s="35" t="str">
        <f t="shared" si="20"/>
        <v/>
      </c>
      <c r="H1627" s="49"/>
      <c r="I1627" s="47" t="str">
        <f t="shared" si="21"/>
        <v/>
      </c>
      <c r="J1627" s="50"/>
      <c r="K1627" s="45" t="b">
        <v>0</v>
      </c>
      <c r="L1627" s="45"/>
      <c r="M1627" s="45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  <c r="AC1627" s="26"/>
      <c r="AD1627" s="26"/>
      <c r="AE1627" s="26"/>
      <c r="AF1627" s="26"/>
      <c r="AG1627" s="26"/>
      <c r="AH1627" s="26"/>
      <c r="AI1627" s="26"/>
      <c r="AJ1627" s="26"/>
      <c r="AK1627" s="2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</row>
    <row r="1628">
      <c r="A1628" s="16" t="str">
        <f t="shared" si="14"/>
        <v/>
      </c>
      <c r="B1628" s="16" t="str">
        <f t="shared" si="15"/>
        <v/>
      </c>
      <c r="C1628" s="35" t="str">
        <f t="shared" si="16"/>
        <v/>
      </c>
      <c r="D1628" s="35" t="str">
        <f t="shared" si="17"/>
        <v/>
      </c>
      <c r="E1628" s="35" t="str">
        <f t="shared" si="18"/>
        <v/>
      </c>
      <c r="F1628" s="35" t="str">
        <f t="shared" si="19"/>
        <v/>
      </c>
      <c r="G1628" s="35" t="str">
        <f t="shared" si="20"/>
        <v/>
      </c>
      <c r="H1628" s="49"/>
      <c r="I1628" s="47" t="str">
        <f t="shared" si="21"/>
        <v/>
      </c>
      <c r="J1628" s="50"/>
      <c r="K1628" s="45" t="b">
        <v>0</v>
      </c>
      <c r="L1628" s="45"/>
      <c r="M1628" s="45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  <c r="AC1628" s="26"/>
      <c r="AD1628" s="26"/>
      <c r="AE1628" s="26"/>
      <c r="AF1628" s="26"/>
      <c r="AG1628" s="26"/>
      <c r="AH1628" s="26"/>
      <c r="AI1628" s="26"/>
      <c r="AJ1628" s="26"/>
      <c r="AK1628" s="2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</row>
    <row r="1629">
      <c r="A1629" s="16" t="str">
        <f t="shared" si="14"/>
        <v/>
      </c>
      <c r="B1629" s="16" t="str">
        <f t="shared" si="15"/>
        <v/>
      </c>
      <c r="C1629" s="35" t="str">
        <f t="shared" si="16"/>
        <v/>
      </c>
      <c r="D1629" s="35" t="str">
        <f t="shared" si="17"/>
        <v/>
      </c>
      <c r="E1629" s="35" t="str">
        <f t="shared" si="18"/>
        <v/>
      </c>
      <c r="F1629" s="35" t="str">
        <f t="shared" si="19"/>
        <v/>
      </c>
      <c r="G1629" s="35" t="str">
        <f t="shared" si="20"/>
        <v/>
      </c>
      <c r="H1629" s="49"/>
      <c r="I1629" s="47" t="str">
        <f t="shared" si="21"/>
        <v/>
      </c>
      <c r="J1629" s="50"/>
      <c r="K1629" s="45" t="b">
        <v>0</v>
      </c>
      <c r="L1629" s="45"/>
      <c r="M1629" s="45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  <c r="AC1629" s="26"/>
      <c r="AD1629" s="26"/>
      <c r="AE1629" s="26"/>
      <c r="AF1629" s="26"/>
      <c r="AG1629" s="26"/>
      <c r="AH1629" s="26"/>
      <c r="AI1629" s="26"/>
      <c r="AJ1629" s="26"/>
      <c r="AK1629" s="2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</row>
    <row r="1630">
      <c r="A1630" s="16" t="str">
        <f t="shared" si="14"/>
        <v/>
      </c>
      <c r="B1630" s="16" t="str">
        <f t="shared" si="15"/>
        <v/>
      </c>
      <c r="C1630" s="35" t="str">
        <f t="shared" si="16"/>
        <v/>
      </c>
      <c r="D1630" s="35" t="str">
        <f t="shared" si="17"/>
        <v/>
      </c>
      <c r="E1630" s="35" t="str">
        <f t="shared" si="18"/>
        <v/>
      </c>
      <c r="F1630" s="35" t="str">
        <f t="shared" si="19"/>
        <v/>
      </c>
      <c r="G1630" s="35" t="str">
        <f t="shared" si="20"/>
        <v/>
      </c>
      <c r="H1630" s="49"/>
      <c r="I1630" s="47" t="str">
        <f t="shared" si="21"/>
        <v/>
      </c>
      <c r="J1630" s="50"/>
      <c r="K1630" s="45" t="b">
        <v>0</v>
      </c>
      <c r="L1630" s="45"/>
      <c r="M1630" s="45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  <c r="AC1630" s="26"/>
      <c r="AD1630" s="26"/>
      <c r="AE1630" s="26"/>
      <c r="AF1630" s="26"/>
      <c r="AG1630" s="26"/>
      <c r="AH1630" s="26"/>
      <c r="AI1630" s="26"/>
      <c r="AJ1630" s="26"/>
      <c r="AK1630" s="2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</row>
    <row r="1631">
      <c r="A1631" s="16" t="str">
        <f t="shared" si="14"/>
        <v/>
      </c>
      <c r="B1631" s="16" t="str">
        <f t="shared" si="15"/>
        <v/>
      </c>
      <c r="C1631" s="35" t="str">
        <f t="shared" si="16"/>
        <v/>
      </c>
      <c r="D1631" s="35" t="str">
        <f t="shared" si="17"/>
        <v/>
      </c>
      <c r="E1631" s="35" t="str">
        <f t="shared" si="18"/>
        <v/>
      </c>
      <c r="F1631" s="35" t="str">
        <f t="shared" si="19"/>
        <v/>
      </c>
      <c r="G1631" s="35" t="str">
        <f t="shared" si="20"/>
        <v/>
      </c>
      <c r="H1631" s="49"/>
      <c r="I1631" s="47" t="str">
        <f t="shared" si="21"/>
        <v/>
      </c>
      <c r="J1631" s="50"/>
      <c r="K1631" s="45" t="b">
        <v>0</v>
      </c>
      <c r="L1631" s="45"/>
      <c r="M1631" s="45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  <c r="AD1631" s="26"/>
      <c r="AE1631" s="26"/>
      <c r="AF1631" s="26"/>
      <c r="AG1631" s="26"/>
      <c r="AH1631" s="26"/>
      <c r="AI1631" s="26"/>
      <c r="AJ1631" s="26"/>
      <c r="AK1631" s="2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</row>
    <row r="1632">
      <c r="A1632" s="16" t="str">
        <f t="shared" si="14"/>
        <v/>
      </c>
      <c r="B1632" s="16" t="str">
        <f t="shared" si="15"/>
        <v/>
      </c>
      <c r="C1632" s="35" t="str">
        <f t="shared" si="16"/>
        <v/>
      </c>
      <c r="D1632" s="35" t="str">
        <f t="shared" si="17"/>
        <v/>
      </c>
      <c r="E1632" s="35" t="str">
        <f t="shared" si="18"/>
        <v/>
      </c>
      <c r="F1632" s="35" t="str">
        <f t="shared" si="19"/>
        <v/>
      </c>
      <c r="G1632" s="35" t="str">
        <f t="shared" si="20"/>
        <v/>
      </c>
      <c r="H1632" s="49"/>
      <c r="I1632" s="47" t="str">
        <f t="shared" si="21"/>
        <v/>
      </c>
      <c r="J1632" s="50"/>
      <c r="K1632" s="45" t="b">
        <v>0</v>
      </c>
      <c r="L1632" s="45"/>
      <c r="M1632" s="45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  <c r="AC1632" s="26"/>
      <c r="AD1632" s="26"/>
      <c r="AE1632" s="26"/>
      <c r="AF1632" s="26"/>
      <c r="AG1632" s="26"/>
      <c r="AH1632" s="26"/>
      <c r="AI1632" s="26"/>
      <c r="AJ1632" s="26"/>
      <c r="AK1632" s="2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</row>
    <row r="1633">
      <c r="A1633" s="16" t="str">
        <f t="shared" si="14"/>
        <v/>
      </c>
      <c r="B1633" s="16" t="str">
        <f t="shared" si="15"/>
        <v/>
      </c>
      <c r="C1633" s="35" t="str">
        <f t="shared" si="16"/>
        <v/>
      </c>
      <c r="D1633" s="35" t="str">
        <f t="shared" si="17"/>
        <v/>
      </c>
      <c r="E1633" s="35" t="str">
        <f t="shared" si="18"/>
        <v/>
      </c>
      <c r="F1633" s="35" t="str">
        <f t="shared" si="19"/>
        <v/>
      </c>
      <c r="G1633" s="35" t="str">
        <f t="shared" si="20"/>
        <v/>
      </c>
      <c r="H1633" s="49"/>
      <c r="I1633" s="47" t="str">
        <f t="shared" si="21"/>
        <v/>
      </c>
      <c r="J1633" s="50"/>
      <c r="K1633" s="45" t="b">
        <v>0</v>
      </c>
      <c r="L1633" s="45"/>
      <c r="M1633" s="45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  <c r="AD1633" s="26"/>
      <c r="AE1633" s="26"/>
      <c r="AF1633" s="26"/>
      <c r="AG1633" s="26"/>
      <c r="AH1633" s="26"/>
      <c r="AI1633" s="26"/>
      <c r="AJ1633" s="26"/>
      <c r="AK1633" s="2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</row>
    <row r="1634">
      <c r="A1634" s="16" t="str">
        <f t="shared" si="14"/>
        <v/>
      </c>
      <c r="B1634" s="16" t="str">
        <f t="shared" si="15"/>
        <v/>
      </c>
      <c r="C1634" s="35" t="str">
        <f t="shared" si="16"/>
        <v/>
      </c>
      <c r="D1634" s="35" t="str">
        <f t="shared" si="17"/>
        <v/>
      </c>
      <c r="E1634" s="35" t="str">
        <f t="shared" si="18"/>
        <v/>
      </c>
      <c r="F1634" s="35" t="str">
        <f t="shared" si="19"/>
        <v/>
      </c>
      <c r="G1634" s="35" t="str">
        <f t="shared" si="20"/>
        <v/>
      </c>
      <c r="H1634" s="49"/>
      <c r="I1634" s="47" t="str">
        <f t="shared" si="21"/>
        <v/>
      </c>
      <c r="J1634" s="50"/>
      <c r="K1634" s="45" t="b">
        <v>0</v>
      </c>
      <c r="L1634" s="45"/>
      <c r="M1634" s="45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  <c r="AC1634" s="26"/>
      <c r="AD1634" s="26"/>
      <c r="AE1634" s="26"/>
      <c r="AF1634" s="26"/>
      <c r="AG1634" s="26"/>
      <c r="AH1634" s="26"/>
      <c r="AI1634" s="26"/>
      <c r="AJ1634" s="26"/>
      <c r="AK1634" s="2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</row>
    <row r="1635">
      <c r="A1635" s="16" t="str">
        <f t="shared" si="14"/>
        <v/>
      </c>
      <c r="B1635" s="16" t="str">
        <f t="shared" si="15"/>
        <v/>
      </c>
      <c r="C1635" s="35" t="str">
        <f t="shared" si="16"/>
        <v/>
      </c>
      <c r="D1635" s="35" t="str">
        <f t="shared" si="17"/>
        <v/>
      </c>
      <c r="E1635" s="35" t="str">
        <f t="shared" si="18"/>
        <v/>
      </c>
      <c r="F1635" s="35" t="str">
        <f t="shared" si="19"/>
        <v/>
      </c>
      <c r="G1635" s="35" t="str">
        <f t="shared" si="20"/>
        <v/>
      </c>
      <c r="H1635" s="49"/>
      <c r="I1635" s="47" t="str">
        <f t="shared" si="21"/>
        <v/>
      </c>
      <c r="J1635" s="50"/>
      <c r="K1635" s="45" t="b">
        <v>0</v>
      </c>
      <c r="L1635" s="45"/>
      <c r="M1635" s="45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  <c r="AC1635" s="26"/>
      <c r="AD1635" s="26"/>
      <c r="AE1635" s="26"/>
      <c r="AF1635" s="26"/>
      <c r="AG1635" s="26"/>
      <c r="AH1635" s="26"/>
      <c r="AI1635" s="26"/>
      <c r="AJ1635" s="26"/>
      <c r="AK1635" s="2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</row>
    <row r="1636">
      <c r="A1636" s="16" t="str">
        <f t="shared" si="14"/>
        <v/>
      </c>
      <c r="B1636" s="16" t="str">
        <f t="shared" si="15"/>
        <v/>
      </c>
      <c r="C1636" s="35" t="str">
        <f t="shared" si="16"/>
        <v/>
      </c>
      <c r="D1636" s="35" t="str">
        <f t="shared" si="17"/>
        <v/>
      </c>
      <c r="E1636" s="35" t="str">
        <f t="shared" si="18"/>
        <v/>
      </c>
      <c r="F1636" s="35" t="str">
        <f t="shared" si="19"/>
        <v/>
      </c>
      <c r="G1636" s="35" t="str">
        <f t="shared" si="20"/>
        <v/>
      </c>
      <c r="H1636" s="49"/>
      <c r="I1636" s="47" t="str">
        <f t="shared" si="21"/>
        <v/>
      </c>
      <c r="J1636" s="50"/>
      <c r="K1636" s="45" t="b">
        <v>0</v>
      </c>
      <c r="L1636" s="45"/>
      <c r="M1636" s="45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  <c r="AC1636" s="26"/>
      <c r="AD1636" s="26"/>
      <c r="AE1636" s="26"/>
      <c r="AF1636" s="26"/>
      <c r="AG1636" s="26"/>
      <c r="AH1636" s="26"/>
      <c r="AI1636" s="26"/>
      <c r="AJ1636" s="26"/>
      <c r="AK1636" s="2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</row>
    <row r="1637">
      <c r="A1637" s="16" t="str">
        <f t="shared" si="14"/>
        <v/>
      </c>
      <c r="B1637" s="16" t="str">
        <f t="shared" si="15"/>
        <v/>
      </c>
      <c r="C1637" s="35" t="str">
        <f t="shared" si="16"/>
        <v/>
      </c>
      <c r="D1637" s="35" t="str">
        <f t="shared" si="17"/>
        <v/>
      </c>
      <c r="E1637" s="35" t="str">
        <f t="shared" si="18"/>
        <v/>
      </c>
      <c r="F1637" s="35" t="str">
        <f t="shared" si="19"/>
        <v/>
      </c>
      <c r="G1637" s="35" t="str">
        <f t="shared" si="20"/>
        <v/>
      </c>
      <c r="H1637" s="49"/>
      <c r="I1637" s="47" t="str">
        <f t="shared" si="21"/>
        <v/>
      </c>
      <c r="J1637" s="50"/>
      <c r="K1637" s="45" t="b">
        <v>0</v>
      </c>
      <c r="L1637" s="45"/>
      <c r="M1637" s="45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  <c r="AC1637" s="26"/>
      <c r="AD1637" s="26"/>
      <c r="AE1637" s="26"/>
      <c r="AF1637" s="26"/>
      <c r="AG1637" s="26"/>
      <c r="AH1637" s="26"/>
      <c r="AI1637" s="26"/>
      <c r="AJ1637" s="26"/>
      <c r="AK1637" s="2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</row>
    <row r="1638">
      <c r="A1638" s="16" t="str">
        <f t="shared" si="14"/>
        <v/>
      </c>
      <c r="B1638" s="16" t="str">
        <f t="shared" si="15"/>
        <v/>
      </c>
      <c r="C1638" s="35" t="str">
        <f t="shared" si="16"/>
        <v/>
      </c>
      <c r="D1638" s="35" t="str">
        <f t="shared" si="17"/>
        <v/>
      </c>
      <c r="E1638" s="35" t="str">
        <f t="shared" si="18"/>
        <v/>
      </c>
      <c r="F1638" s="35" t="str">
        <f t="shared" si="19"/>
        <v/>
      </c>
      <c r="G1638" s="35" t="str">
        <f t="shared" si="20"/>
        <v/>
      </c>
      <c r="H1638" s="49"/>
      <c r="I1638" s="47" t="str">
        <f t="shared" si="21"/>
        <v/>
      </c>
      <c r="J1638" s="50"/>
      <c r="K1638" s="45" t="b">
        <v>0</v>
      </c>
      <c r="L1638" s="45"/>
      <c r="M1638" s="45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  <c r="AC1638" s="26"/>
      <c r="AD1638" s="26"/>
      <c r="AE1638" s="26"/>
      <c r="AF1638" s="26"/>
      <c r="AG1638" s="26"/>
      <c r="AH1638" s="26"/>
      <c r="AI1638" s="26"/>
      <c r="AJ1638" s="26"/>
      <c r="AK1638" s="2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</row>
    <row r="1639">
      <c r="A1639" s="16" t="str">
        <f t="shared" si="14"/>
        <v/>
      </c>
      <c r="B1639" s="16" t="str">
        <f t="shared" si="15"/>
        <v/>
      </c>
      <c r="C1639" s="35" t="str">
        <f t="shared" si="16"/>
        <v/>
      </c>
      <c r="D1639" s="35" t="str">
        <f t="shared" si="17"/>
        <v/>
      </c>
      <c r="E1639" s="35" t="str">
        <f t="shared" si="18"/>
        <v/>
      </c>
      <c r="F1639" s="35" t="str">
        <f t="shared" si="19"/>
        <v/>
      </c>
      <c r="G1639" s="35" t="str">
        <f t="shared" si="20"/>
        <v/>
      </c>
      <c r="H1639" s="49"/>
      <c r="I1639" s="47" t="str">
        <f t="shared" si="21"/>
        <v/>
      </c>
      <c r="J1639" s="50"/>
      <c r="K1639" s="45" t="b">
        <v>0</v>
      </c>
      <c r="L1639" s="45"/>
      <c r="M1639" s="45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  <c r="AC1639" s="26"/>
      <c r="AD1639" s="26"/>
      <c r="AE1639" s="26"/>
      <c r="AF1639" s="26"/>
      <c r="AG1639" s="26"/>
      <c r="AH1639" s="26"/>
      <c r="AI1639" s="26"/>
      <c r="AJ1639" s="26"/>
      <c r="AK1639" s="2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</row>
    <row r="1640">
      <c r="A1640" s="16" t="str">
        <f t="shared" si="14"/>
        <v/>
      </c>
      <c r="B1640" s="16" t="str">
        <f t="shared" si="15"/>
        <v/>
      </c>
      <c r="C1640" s="35" t="str">
        <f t="shared" si="16"/>
        <v/>
      </c>
      <c r="D1640" s="35" t="str">
        <f t="shared" si="17"/>
        <v/>
      </c>
      <c r="E1640" s="35" t="str">
        <f t="shared" si="18"/>
        <v/>
      </c>
      <c r="F1640" s="35" t="str">
        <f t="shared" si="19"/>
        <v/>
      </c>
      <c r="G1640" s="35" t="str">
        <f t="shared" si="20"/>
        <v/>
      </c>
      <c r="H1640" s="49"/>
      <c r="I1640" s="47" t="str">
        <f t="shared" si="21"/>
        <v/>
      </c>
      <c r="J1640" s="50"/>
      <c r="K1640" s="45" t="b">
        <v>0</v>
      </c>
      <c r="L1640" s="45"/>
      <c r="M1640" s="45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  <c r="AC1640" s="26"/>
      <c r="AD1640" s="26"/>
      <c r="AE1640" s="26"/>
      <c r="AF1640" s="26"/>
      <c r="AG1640" s="26"/>
      <c r="AH1640" s="26"/>
      <c r="AI1640" s="26"/>
      <c r="AJ1640" s="26"/>
      <c r="AK1640" s="2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</row>
    <row r="1641">
      <c r="A1641" s="16" t="str">
        <f t="shared" si="14"/>
        <v/>
      </c>
      <c r="B1641" s="16" t="str">
        <f t="shared" si="15"/>
        <v/>
      </c>
      <c r="C1641" s="35" t="str">
        <f t="shared" si="16"/>
        <v/>
      </c>
      <c r="D1641" s="35" t="str">
        <f t="shared" si="17"/>
        <v/>
      </c>
      <c r="E1641" s="35" t="str">
        <f t="shared" si="18"/>
        <v/>
      </c>
      <c r="F1641" s="35" t="str">
        <f t="shared" si="19"/>
        <v/>
      </c>
      <c r="G1641" s="35" t="str">
        <f t="shared" si="20"/>
        <v/>
      </c>
      <c r="H1641" s="49"/>
      <c r="I1641" s="47" t="str">
        <f t="shared" si="21"/>
        <v/>
      </c>
      <c r="J1641" s="50"/>
      <c r="K1641" s="45" t="b">
        <v>0</v>
      </c>
      <c r="L1641" s="45"/>
      <c r="M1641" s="45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  <c r="AC1641" s="26"/>
      <c r="AD1641" s="26"/>
      <c r="AE1641" s="26"/>
      <c r="AF1641" s="26"/>
      <c r="AG1641" s="26"/>
      <c r="AH1641" s="26"/>
      <c r="AI1641" s="26"/>
      <c r="AJ1641" s="26"/>
      <c r="AK1641" s="2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</row>
    <row r="1642">
      <c r="A1642" s="16" t="str">
        <f t="shared" si="14"/>
        <v/>
      </c>
      <c r="B1642" s="16" t="str">
        <f t="shared" si="15"/>
        <v/>
      </c>
      <c r="C1642" s="35" t="str">
        <f t="shared" si="16"/>
        <v/>
      </c>
      <c r="D1642" s="35" t="str">
        <f t="shared" si="17"/>
        <v/>
      </c>
      <c r="E1642" s="35" t="str">
        <f t="shared" si="18"/>
        <v/>
      </c>
      <c r="F1642" s="35" t="str">
        <f t="shared" si="19"/>
        <v/>
      </c>
      <c r="G1642" s="35" t="str">
        <f t="shared" si="20"/>
        <v/>
      </c>
      <c r="H1642" s="49"/>
      <c r="I1642" s="47" t="str">
        <f t="shared" si="21"/>
        <v/>
      </c>
      <c r="J1642" s="50"/>
      <c r="K1642" s="45" t="b">
        <v>0</v>
      </c>
      <c r="L1642" s="45"/>
      <c r="M1642" s="45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  <c r="AB1642" s="26"/>
      <c r="AC1642" s="26"/>
      <c r="AD1642" s="26"/>
      <c r="AE1642" s="26"/>
      <c r="AF1642" s="26"/>
      <c r="AG1642" s="26"/>
      <c r="AH1642" s="26"/>
      <c r="AI1642" s="26"/>
      <c r="AJ1642" s="26"/>
      <c r="AK1642" s="2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</row>
    <row r="1643">
      <c r="A1643" s="16" t="str">
        <f t="shared" si="14"/>
        <v/>
      </c>
      <c r="B1643" s="16" t="str">
        <f t="shared" si="15"/>
        <v/>
      </c>
      <c r="C1643" s="35" t="str">
        <f t="shared" si="16"/>
        <v/>
      </c>
      <c r="D1643" s="35" t="str">
        <f t="shared" si="17"/>
        <v/>
      </c>
      <c r="E1643" s="35" t="str">
        <f t="shared" si="18"/>
        <v/>
      </c>
      <c r="F1643" s="35" t="str">
        <f t="shared" si="19"/>
        <v/>
      </c>
      <c r="G1643" s="35" t="str">
        <f t="shared" si="20"/>
        <v/>
      </c>
      <c r="H1643" s="49"/>
      <c r="I1643" s="47" t="str">
        <f t="shared" si="21"/>
        <v/>
      </c>
      <c r="J1643" s="50"/>
      <c r="K1643" s="45" t="b">
        <v>0</v>
      </c>
      <c r="L1643" s="45"/>
      <c r="M1643" s="45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  <c r="AB1643" s="26"/>
      <c r="AC1643" s="26"/>
      <c r="AD1643" s="26"/>
      <c r="AE1643" s="26"/>
      <c r="AF1643" s="26"/>
      <c r="AG1643" s="26"/>
      <c r="AH1643" s="26"/>
      <c r="AI1643" s="26"/>
      <c r="AJ1643" s="26"/>
      <c r="AK1643" s="2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46"/>
      <c r="BM1643" s="46"/>
      <c r="BN1643" s="46"/>
      <c r="BO1643" s="46"/>
    </row>
    <row r="1644">
      <c r="A1644" s="16" t="str">
        <f t="shared" si="14"/>
        <v/>
      </c>
      <c r="B1644" s="16" t="str">
        <f t="shared" si="15"/>
        <v/>
      </c>
      <c r="C1644" s="35" t="str">
        <f t="shared" si="16"/>
        <v/>
      </c>
      <c r="D1644" s="35" t="str">
        <f t="shared" si="17"/>
        <v/>
      </c>
      <c r="E1644" s="35" t="str">
        <f t="shared" si="18"/>
        <v/>
      </c>
      <c r="F1644" s="35" t="str">
        <f t="shared" si="19"/>
        <v/>
      </c>
      <c r="G1644" s="35" t="str">
        <f t="shared" si="20"/>
        <v/>
      </c>
      <c r="H1644" s="49"/>
      <c r="I1644" s="47" t="str">
        <f t="shared" si="21"/>
        <v/>
      </c>
      <c r="J1644" s="50"/>
      <c r="K1644" s="45" t="b">
        <v>0</v>
      </c>
      <c r="L1644" s="45"/>
      <c r="M1644" s="45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  <c r="AB1644" s="26"/>
      <c r="AC1644" s="26"/>
      <c r="AD1644" s="26"/>
      <c r="AE1644" s="26"/>
      <c r="AF1644" s="26"/>
      <c r="AG1644" s="26"/>
      <c r="AH1644" s="26"/>
      <c r="AI1644" s="26"/>
      <c r="AJ1644" s="26"/>
      <c r="AK1644" s="2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46"/>
      <c r="BM1644" s="46"/>
      <c r="BN1644" s="46"/>
      <c r="BO1644" s="46"/>
    </row>
    <row r="1645">
      <c r="A1645" s="16" t="str">
        <f t="shared" si="14"/>
        <v/>
      </c>
      <c r="B1645" s="16" t="str">
        <f t="shared" si="15"/>
        <v/>
      </c>
      <c r="C1645" s="35" t="str">
        <f t="shared" si="16"/>
        <v/>
      </c>
      <c r="D1645" s="35" t="str">
        <f t="shared" si="17"/>
        <v/>
      </c>
      <c r="E1645" s="35" t="str">
        <f t="shared" si="18"/>
        <v/>
      </c>
      <c r="F1645" s="35" t="str">
        <f t="shared" si="19"/>
        <v/>
      </c>
      <c r="G1645" s="35" t="str">
        <f t="shared" si="20"/>
        <v/>
      </c>
      <c r="H1645" s="49"/>
      <c r="I1645" s="47" t="str">
        <f t="shared" si="21"/>
        <v/>
      </c>
      <c r="J1645" s="50"/>
      <c r="K1645" s="45" t="b">
        <v>0</v>
      </c>
      <c r="L1645" s="45"/>
      <c r="M1645" s="45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  <c r="AB1645" s="26"/>
      <c r="AC1645" s="26"/>
      <c r="AD1645" s="26"/>
      <c r="AE1645" s="26"/>
      <c r="AF1645" s="26"/>
      <c r="AG1645" s="26"/>
      <c r="AH1645" s="26"/>
      <c r="AI1645" s="26"/>
      <c r="AJ1645" s="26"/>
      <c r="AK1645" s="2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46"/>
      <c r="BM1645" s="46"/>
      <c r="BN1645" s="46"/>
      <c r="BO1645" s="46"/>
    </row>
    <row r="1646">
      <c r="A1646" s="16" t="str">
        <f t="shared" si="14"/>
        <v/>
      </c>
      <c r="B1646" s="16" t="str">
        <f t="shared" si="15"/>
        <v/>
      </c>
      <c r="C1646" s="35" t="str">
        <f t="shared" si="16"/>
        <v/>
      </c>
      <c r="D1646" s="35" t="str">
        <f t="shared" si="17"/>
        <v/>
      </c>
      <c r="E1646" s="35" t="str">
        <f t="shared" si="18"/>
        <v/>
      </c>
      <c r="F1646" s="35" t="str">
        <f t="shared" si="19"/>
        <v/>
      </c>
      <c r="G1646" s="35" t="str">
        <f t="shared" si="20"/>
        <v/>
      </c>
      <c r="H1646" s="49"/>
      <c r="I1646" s="47" t="str">
        <f t="shared" si="21"/>
        <v/>
      </c>
      <c r="J1646" s="50"/>
      <c r="K1646" s="45" t="b">
        <v>0</v>
      </c>
      <c r="L1646" s="45"/>
      <c r="M1646" s="45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  <c r="AC1646" s="26"/>
      <c r="AD1646" s="26"/>
      <c r="AE1646" s="26"/>
      <c r="AF1646" s="26"/>
      <c r="AG1646" s="26"/>
      <c r="AH1646" s="26"/>
      <c r="AI1646" s="26"/>
      <c r="AJ1646" s="26"/>
      <c r="AK1646" s="2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46"/>
      <c r="BM1646" s="46"/>
      <c r="BN1646" s="46"/>
      <c r="BO1646" s="46"/>
    </row>
    <row r="1647">
      <c r="A1647" s="16" t="str">
        <f t="shared" si="14"/>
        <v/>
      </c>
      <c r="B1647" s="16" t="str">
        <f t="shared" si="15"/>
        <v/>
      </c>
      <c r="C1647" s="35" t="str">
        <f t="shared" si="16"/>
        <v/>
      </c>
      <c r="D1647" s="35" t="str">
        <f t="shared" si="17"/>
        <v/>
      </c>
      <c r="E1647" s="35" t="str">
        <f t="shared" si="18"/>
        <v/>
      </c>
      <c r="F1647" s="35" t="str">
        <f t="shared" si="19"/>
        <v/>
      </c>
      <c r="G1647" s="35" t="str">
        <f t="shared" si="20"/>
        <v/>
      </c>
      <c r="H1647" s="49"/>
      <c r="I1647" s="47" t="str">
        <f t="shared" si="21"/>
        <v/>
      </c>
      <c r="J1647" s="50"/>
      <c r="K1647" s="45" t="b">
        <v>0</v>
      </c>
      <c r="L1647" s="45"/>
      <c r="M1647" s="45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  <c r="AC1647" s="26"/>
      <c r="AD1647" s="26"/>
      <c r="AE1647" s="26"/>
      <c r="AF1647" s="26"/>
      <c r="AG1647" s="26"/>
      <c r="AH1647" s="26"/>
      <c r="AI1647" s="26"/>
      <c r="AJ1647" s="26"/>
      <c r="AK1647" s="2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46"/>
      <c r="BM1647" s="46"/>
      <c r="BN1647" s="46"/>
      <c r="BO1647" s="46"/>
    </row>
    <row r="1648">
      <c r="A1648" s="16" t="str">
        <f t="shared" si="14"/>
        <v/>
      </c>
      <c r="B1648" s="16" t="str">
        <f t="shared" si="15"/>
        <v/>
      </c>
      <c r="C1648" s="35" t="str">
        <f t="shared" si="16"/>
        <v/>
      </c>
      <c r="D1648" s="35" t="str">
        <f t="shared" si="17"/>
        <v/>
      </c>
      <c r="E1648" s="35" t="str">
        <f t="shared" si="18"/>
        <v/>
      </c>
      <c r="F1648" s="35" t="str">
        <f t="shared" si="19"/>
        <v/>
      </c>
      <c r="G1648" s="35" t="str">
        <f t="shared" si="20"/>
        <v/>
      </c>
      <c r="H1648" s="49"/>
      <c r="I1648" s="47" t="str">
        <f t="shared" si="21"/>
        <v/>
      </c>
      <c r="J1648" s="50"/>
      <c r="K1648" s="45" t="b">
        <v>0</v>
      </c>
      <c r="L1648" s="45"/>
      <c r="M1648" s="45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  <c r="AC1648" s="26"/>
      <c r="AD1648" s="26"/>
      <c r="AE1648" s="26"/>
      <c r="AF1648" s="26"/>
      <c r="AG1648" s="26"/>
      <c r="AH1648" s="26"/>
      <c r="AI1648" s="26"/>
      <c r="AJ1648" s="26"/>
      <c r="AK1648" s="2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46"/>
      <c r="BM1648" s="46"/>
      <c r="BN1648" s="46"/>
      <c r="BO1648" s="46"/>
    </row>
    <row r="1649">
      <c r="A1649" s="16" t="str">
        <f t="shared" si="14"/>
        <v/>
      </c>
      <c r="B1649" s="16" t="str">
        <f t="shared" si="15"/>
        <v/>
      </c>
      <c r="C1649" s="35" t="str">
        <f t="shared" si="16"/>
        <v/>
      </c>
      <c r="D1649" s="35" t="str">
        <f t="shared" si="17"/>
        <v/>
      </c>
      <c r="E1649" s="35" t="str">
        <f t="shared" si="18"/>
        <v/>
      </c>
      <c r="F1649" s="35" t="str">
        <f t="shared" si="19"/>
        <v/>
      </c>
      <c r="G1649" s="35" t="str">
        <f t="shared" si="20"/>
        <v/>
      </c>
      <c r="H1649" s="49"/>
      <c r="I1649" s="47" t="str">
        <f t="shared" si="21"/>
        <v/>
      </c>
      <c r="J1649" s="50"/>
      <c r="K1649" s="45" t="b">
        <v>0</v>
      </c>
      <c r="L1649" s="45"/>
      <c r="M1649" s="45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  <c r="AC1649" s="26"/>
      <c r="AD1649" s="26"/>
      <c r="AE1649" s="26"/>
      <c r="AF1649" s="26"/>
      <c r="AG1649" s="26"/>
      <c r="AH1649" s="26"/>
      <c r="AI1649" s="26"/>
      <c r="AJ1649" s="26"/>
      <c r="AK1649" s="2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46"/>
      <c r="BM1649" s="46"/>
      <c r="BN1649" s="46"/>
      <c r="BO1649" s="46"/>
    </row>
    <row r="1650">
      <c r="A1650" s="16" t="str">
        <f t="shared" si="14"/>
        <v/>
      </c>
      <c r="B1650" s="16" t="str">
        <f t="shared" si="15"/>
        <v/>
      </c>
      <c r="C1650" s="35" t="str">
        <f t="shared" si="16"/>
        <v/>
      </c>
      <c r="D1650" s="35" t="str">
        <f t="shared" si="17"/>
        <v/>
      </c>
      <c r="E1650" s="35" t="str">
        <f t="shared" si="18"/>
        <v/>
      </c>
      <c r="F1650" s="35" t="str">
        <f t="shared" si="19"/>
        <v/>
      </c>
      <c r="G1650" s="35" t="str">
        <f t="shared" si="20"/>
        <v/>
      </c>
      <c r="H1650" s="49"/>
      <c r="I1650" s="47" t="str">
        <f t="shared" si="21"/>
        <v/>
      </c>
      <c r="J1650" s="50"/>
      <c r="K1650" s="45" t="b">
        <v>0</v>
      </c>
      <c r="L1650" s="45"/>
      <c r="M1650" s="45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  <c r="AC1650" s="26"/>
      <c r="AD1650" s="26"/>
      <c r="AE1650" s="26"/>
      <c r="AF1650" s="26"/>
      <c r="AG1650" s="26"/>
      <c r="AH1650" s="26"/>
      <c r="AI1650" s="26"/>
      <c r="AJ1650" s="26"/>
      <c r="AK1650" s="2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46"/>
      <c r="BM1650" s="46"/>
      <c r="BN1650" s="46"/>
      <c r="BO1650" s="46"/>
    </row>
    <row r="1651">
      <c r="A1651" s="16" t="str">
        <f t="shared" si="14"/>
        <v/>
      </c>
      <c r="B1651" s="16" t="str">
        <f t="shared" si="15"/>
        <v/>
      </c>
      <c r="C1651" s="35" t="str">
        <f t="shared" si="16"/>
        <v/>
      </c>
      <c r="D1651" s="35" t="str">
        <f t="shared" si="17"/>
        <v/>
      </c>
      <c r="E1651" s="35" t="str">
        <f t="shared" si="18"/>
        <v/>
      </c>
      <c r="F1651" s="35" t="str">
        <f t="shared" si="19"/>
        <v/>
      </c>
      <c r="G1651" s="35" t="str">
        <f t="shared" si="20"/>
        <v/>
      </c>
      <c r="H1651" s="49"/>
      <c r="I1651" s="47" t="str">
        <f t="shared" si="21"/>
        <v/>
      </c>
      <c r="J1651" s="50"/>
      <c r="K1651" s="45" t="b">
        <v>0</v>
      </c>
      <c r="L1651" s="45"/>
      <c r="M1651" s="45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  <c r="AC1651" s="26"/>
      <c r="AD1651" s="26"/>
      <c r="AE1651" s="26"/>
      <c r="AF1651" s="26"/>
      <c r="AG1651" s="26"/>
      <c r="AH1651" s="26"/>
      <c r="AI1651" s="26"/>
      <c r="AJ1651" s="26"/>
      <c r="AK1651" s="2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46"/>
      <c r="BM1651" s="46"/>
      <c r="BN1651" s="46"/>
      <c r="BO1651" s="46"/>
    </row>
    <row r="1652">
      <c r="A1652" s="16" t="str">
        <f t="shared" si="14"/>
        <v/>
      </c>
      <c r="B1652" s="16" t="str">
        <f t="shared" si="15"/>
        <v/>
      </c>
      <c r="C1652" s="35" t="str">
        <f t="shared" si="16"/>
        <v/>
      </c>
      <c r="D1652" s="35" t="str">
        <f t="shared" si="17"/>
        <v/>
      </c>
      <c r="E1652" s="35" t="str">
        <f t="shared" si="18"/>
        <v/>
      </c>
      <c r="F1652" s="35" t="str">
        <f t="shared" si="19"/>
        <v/>
      </c>
      <c r="G1652" s="35" t="str">
        <f t="shared" si="20"/>
        <v/>
      </c>
      <c r="H1652" s="49"/>
      <c r="I1652" s="47" t="str">
        <f t="shared" si="21"/>
        <v/>
      </c>
      <c r="J1652" s="50"/>
      <c r="K1652" s="45" t="b">
        <v>0</v>
      </c>
      <c r="L1652" s="45"/>
      <c r="M1652" s="45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  <c r="AC1652" s="26"/>
      <c r="AD1652" s="26"/>
      <c r="AE1652" s="26"/>
      <c r="AF1652" s="26"/>
      <c r="AG1652" s="26"/>
      <c r="AH1652" s="26"/>
      <c r="AI1652" s="26"/>
      <c r="AJ1652" s="26"/>
      <c r="AK1652" s="2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46"/>
      <c r="BM1652" s="46"/>
      <c r="BN1652" s="46"/>
      <c r="BO1652" s="46"/>
    </row>
    <row r="1653">
      <c r="A1653" s="16" t="str">
        <f t="shared" si="14"/>
        <v/>
      </c>
      <c r="B1653" s="16" t="str">
        <f t="shared" si="15"/>
        <v/>
      </c>
      <c r="C1653" s="35" t="str">
        <f t="shared" si="16"/>
        <v/>
      </c>
      <c r="D1653" s="35" t="str">
        <f t="shared" si="17"/>
        <v/>
      </c>
      <c r="E1653" s="35" t="str">
        <f t="shared" si="18"/>
        <v/>
      </c>
      <c r="F1653" s="35" t="str">
        <f t="shared" si="19"/>
        <v/>
      </c>
      <c r="G1653" s="35" t="str">
        <f t="shared" si="20"/>
        <v/>
      </c>
      <c r="H1653" s="49"/>
      <c r="I1653" s="47" t="str">
        <f t="shared" si="21"/>
        <v/>
      </c>
      <c r="J1653" s="50"/>
      <c r="K1653" s="45" t="b">
        <v>0</v>
      </c>
      <c r="L1653" s="45"/>
      <c r="M1653" s="45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  <c r="AB1653" s="26"/>
      <c r="AC1653" s="26"/>
      <c r="AD1653" s="26"/>
      <c r="AE1653" s="26"/>
      <c r="AF1653" s="26"/>
      <c r="AG1653" s="26"/>
      <c r="AH1653" s="26"/>
      <c r="AI1653" s="26"/>
      <c r="AJ1653" s="26"/>
      <c r="AK1653" s="2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46"/>
      <c r="BM1653" s="46"/>
      <c r="BN1653" s="46"/>
      <c r="BO1653" s="46"/>
    </row>
    <row r="1654">
      <c r="A1654" s="16" t="str">
        <f t="shared" si="14"/>
        <v/>
      </c>
      <c r="B1654" s="16" t="str">
        <f t="shared" si="15"/>
        <v/>
      </c>
      <c r="C1654" s="35" t="str">
        <f t="shared" si="16"/>
        <v/>
      </c>
      <c r="D1654" s="35" t="str">
        <f t="shared" si="17"/>
        <v/>
      </c>
      <c r="E1654" s="35" t="str">
        <f t="shared" si="18"/>
        <v/>
      </c>
      <c r="F1654" s="35" t="str">
        <f t="shared" si="19"/>
        <v/>
      </c>
      <c r="G1654" s="35" t="str">
        <f t="shared" si="20"/>
        <v/>
      </c>
      <c r="H1654" s="49"/>
      <c r="I1654" s="47" t="str">
        <f t="shared" si="21"/>
        <v/>
      </c>
      <c r="J1654" s="50"/>
      <c r="K1654" s="45" t="b">
        <v>0</v>
      </c>
      <c r="L1654" s="45"/>
      <c r="M1654" s="45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  <c r="AB1654" s="26"/>
      <c r="AC1654" s="26"/>
      <c r="AD1654" s="26"/>
      <c r="AE1654" s="26"/>
      <c r="AF1654" s="26"/>
      <c r="AG1654" s="26"/>
      <c r="AH1654" s="26"/>
      <c r="AI1654" s="26"/>
      <c r="AJ1654" s="26"/>
      <c r="AK1654" s="2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46"/>
      <c r="BM1654" s="46"/>
      <c r="BN1654" s="46"/>
      <c r="BO1654" s="46"/>
    </row>
    <row r="1655">
      <c r="A1655" s="16" t="str">
        <f t="shared" si="14"/>
        <v/>
      </c>
      <c r="B1655" s="16" t="str">
        <f t="shared" si="15"/>
        <v/>
      </c>
      <c r="C1655" s="35" t="str">
        <f t="shared" si="16"/>
        <v/>
      </c>
      <c r="D1655" s="35" t="str">
        <f t="shared" si="17"/>
        <v/>
      </c>
      <c r="E1655" s="35" t="str">
        <f t="shared" si="18"/>
        <v/>
      </c>
      <c r="F1655" s="35" t="str">
        <f t="shared" si="19"/>
        <v/>
      </c>
      <c r="G1655" s="35" t="str">
        <f t="shared" si="20"/>
        <v/>
      </c>
      <c r="H1655" s="49"/>
      <c r="I1655" s="47" t="str">
        <f t="shared" si="21"/>
        <v/>
      </c>
      <c r="J1655" s="50"/>
      <c r="K1655" s="45" t="b">
        <v>0</v>
      </c>
      <c r="L1655" s="45"/>
      <c r="M1655" s="45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  <c r="AB1655" s="26"/>
      <c r="AC1655" s="26"/>
      <c r="AD1655" s="26"/>
      <c r="AE1655" s="26"/>
      <c r="AF1655" s="26"/>
      <c r="AG1655" s="26"/>
      <c r="AH1655" s="26"/>
      <c r="AI1655" s="26"/>
      <c r="AJ1655" s="26"/>
      <c r="AK1655" s="2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46"/>
      <c r="BM1655" s="46"/>
      <c r="BN1655" s="46"/>
      <c r="BO1655" s="46"/>
    </row>
    <row r="1656">
      <c r="A1656" s="16" t="str">
        <f t="shared" si="14"/>
        <v/>
      </c>
      <c r="B1656" s="16" t="str">
        <f t="shared" si="15"/>
        <v/>
      </c>
      <c r="C1656" s="35" t="str">
        <f t="shared" si="16"/>
        <v/>
      </c>
      <c r="D1656" s="35" t="str">
        <f t="shared" si="17"/>
        <v/>
      </c>
      <c r="E1656" s="35" t="str">
        <f t="shared" si="18"/>
        <v/>
      </c>
      <c r="F1656" s="35" t="str">
        <f t="shared" si="19"/>
        <v/>
      </c>
      <c r="G1656" s="35" t="str">
        <f t="shared" si="20"/>
        <v/>
      </c>
      <c r="H1656" s="49"/>
      <c r="I1656" s="47" t="str">
        <f t="shared" si="21"/>
        <v/>
      </c>
      <c r="J1656" s="50"/>
      <c r="K1656" s="45" t="b">
        <v>0</v>
      </c>
      <c r="L1656" s="45"/>
      <c r="M1656" s="45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  <c r="AB1656" s="26"/>
      <c r="AC1656" s="26"/>
      <c r="AD1656" s="26"/>
      <c r="AE1656" s="26"/>
      <c r="AF1656" s="26"/>
      <c r="AG1656" s="26"/>
      <c r="AH1656" s="26"/>
      <c r="AI1656" s="26"/>
      <c r="AJ1656" s="26"/>
      <c r="AK1656" s="2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/>
    </row>
    <row r="1657">
      <c r="A1657" s="16" t="str">
        <f t="shared" si="14"/>
        <v/>
      </c>
      <c r="B1657" s="16" t="str">
        <f t="shared" si="15"/>
        <v/>
      </c>
      <c r="C1657" s="35" t="str">
        <f t="shared" si="16"/>
        <v/>
      </c>
      <c r="D1657" s="35" t="str">
        <f t="shared" si="17"/>
        <v/>
      </c>
      <c r="E1657" s="35" t="str">
        <f t="shared" si="18"/>
        <v/>
      </c>
      <c r="F1657" s="35" t="str">
        <f t="shared" si="19"/>
        <v/>
      </c>
      <c r="G1657" s="35" t="str">
        <f t="shared" si="20"/>
        <v/>
      </c>
      <c r="H1657" s="49"/>
      <c r="I1657" s="47" t="str">
        <f t="shared" si="21"/>
        <v/>
      </c>
      <c r="J1657" s="50"/>
      <c r="K1657" s="45" t="b">
        <v>0</v>
      </c>
      <c r="L1657" s="45"/>
      <c r="M1657" s="45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  <c r="AB1657" s="26"/>
      <c r="AC1657" s="26"/>
      <c r="AD1657" s="26"/>
      <c r="AE1657" s="26"/>
      <c r="AF1657" s="26"/>
      <c r="AG1657" s="26"/>
      <c r="AH1657" s="26"/>
      <c r="AI1657" s="26"/>
      <c r="AJ1657" s="26"/>
      <c r="AK1657" s="2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46"/>
      <c r="BM1657" s="46"/>
      <c r="BN1657" s="46"/>
      <c r="BO1657" s="46"/>
    </row>
    <row r="1658">
      <c r="A1658" s="16" t="str">
        <f t="shared" si="14"/>
        <v/>
      </c>
      <c r="B1658" s="16" t="str">
        <f t="shared" si="15"/>
        <v/>
      </c>
      <c r="C1658" s="35" t="str">
        <f t="shared" si="16"/>
        <v/>
      </c>
      <c r="D1658" s="35" t="str">
        <f t="shared" si="17"/>
        <v/>
      </c>
      <c r="E1658" s="35" t="str">
        <f t="shared" si="18"/>
        <v/>
      </c>
      <c r="F1658" s="35" t="str">
        <f t="shared" si="19"/>
        <v/>
      </c>
      <c r="G1658" s="35" t="str">
        <f t="shared" si="20"/>
        <v/>
      </c>
      <c r="H1658" s="49"/>
      <c r="I1658" s="47" t="str">
        <f t="shared" si="21"/>
        <v/>
      </c>
      <c r="J1658" s="50"/>
      <c r="K1658" s="45" t="b">
        <v>0</v>
      </c>
      <c r="L1658" s="45"/>
      <c r="M1658" s="45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  <c r="AC1658" s="26"/>
      <c r="AD1658" s="26"/>
      <c r="AE1658" s="26"/>
      <c r="AF1658" s="26"/>
      <c r="AG1658" s="26"/>
      <c r="AH1658" s="26"/>
      <c r="AI1658" s="26"/>
      <c r="AJ1658" s="26"/>
      <c r="AK1658" s="2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46"/>
      <c r="BM1658" s="46"/>
      <c r="BN1658" s="46"/>
      <c r="BO1658" s="46"/>
    </row>
    <row r="1659">
      <c r="A1659" s="16" t="str">
        <f t="shared" si="14"/>
        <v/>
      </c>
      <c r="B1659" s="16" t="str">
        <f t="shared" si="15"/>
        <v/>
      </c>
      <c r="C1659" s="35" t="str">
        <f t="shared" si="16"/>
        <v/>
      </c>
      <c r="D1659" s="35" t="str">
        <f t="shared" si="17"/>
        <v/>
      </c>
      <c r="E1659" s="35" t="str">
        <f t="shared" si="18"/>
        <v/>
      </c>
      <c r="F1659" s="35" t="str">
        <f t="shared" si="19"/>
        <v/>
      </c>
      <c r="G1659" s="35" t="str">
        <f t="shared" si="20"/>
        <v/>
      </c>
      <c r="H1659" s="49"/>
      <c r="I1659" s="47" t="str">
        <f t="shared" si="21"/>
        <v/>
      </c>
      <c r="J1659" s="50"/>
      <c r="K1659" s="45" t="b">
        <v>0</v>
      </c>
      <c r="L1659" s="45"/>
      <c r="M1659" s="45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  <c r="AB1659" s="26"/>
      <c r="AC1659" s="26"/>
      <c r="AD1659" s="26"/>
      <c r="AE1659" s="26"/>
      <c r="AF1659" s="26"/>
      <c r="AG1659" s="26"/>
      <c r="AH1659" s="26"/>
      <c r="AI1659" s="26"/>
      <c r="AJ1659" s="26"/>
      <c r="AK1659" s="2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46"/>
      <c r="BM1659" s="46"/>
      <c r="BN1659" s="46"/>
      <c r="BO1659" s="46"/>
    </row>
    <row r="1660">
      <c r="A1660" s="16" t="str">
        <f t="shared" si="14"/>
        <v/>
      </c>
      <c r="B1660" s="16" t="str">
        <f t="shared" si="15"/>
        <v/>
      </c>
      <c r="C1660" s="35" t="str">
        <f t="shared" si="16"/>
        <v/>
      </c>
      <c r="D1660" s="35" t="str">
        <f t="shared" si="17"/>
        <v/>
      </c>
      <c r="E1660" s="35" t="str">
        <f t="shared" si="18"/>
        <v/>
      </c>
      <c r="F1660" s="35" t="str">
        <f t="shared" si="19"/>
        <v/>
      </c>
      <c r="G1660" s="35" t="str">
        <f t="shared" si="20"/>
        <v/>
      </c>
      <c r="H1660" s="49"/>
      <c r="I1660" s="47" t="str">
        <f t="shared" si="21"/>
        <v/>
      </c>
      <c r="J1660" s="50"/>
      <c r="K1660" s="45" t="b">
        <v>0</v>
      </c>
      <c r="L1660" s="45"/>
      <c r="M1660" s="45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  <c r="AB1660" s="26"/>
      <c r="AC1660" s="26"/>
      <c r="AD1660" s="26"/>
      <c r="AE1660" s="26"/>
      <c r="AF1660" s="26"/>
      <c r="AG1660" s="26"/>
      <c r="AH1660" s="26"/>
      <c r="AI1660" s="26"/>
      <c r="AJ1660" s="26"/>
      <c r="AK1660" s="2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46"/>
      <c r="BM1660" s="46"/>
      <c r="BN1660" s="46"/>
      <c r="BO1660" s="46"/>
    </row>
    <row r="1661">
      <c r="A1661" s="16" t="str">
        <f t="shared" si="14"/>
        <v/>
      </c>
      <c r="B1661" s="16" t="str">
        <f t="shared" si="15"/>
        <v/>
      </c>
      <c r="C1661" s="35" t="str">
        <f t="shared" si="16"/>
        <v/>
      </c>
      <c r="D1661" s="35" t="str">
        <f t="shared" si="17"/>
        <v/>
      </c>
      <c r="E1661" s="35" t="str">
        <f t="shared" si="18"/>
        <v/>
      </c>
      <c r="F1661" s="35" t="str">
        <f t="shared" si="19"/>
        <v/>
      </c>
      <c r="G1661" s="35" t="str">
        <f t="shared" si="20"/>
        <v/>
      </c>
      <c r="H1661" s="49"/>
      <c r="I1661" s="47" t="str">
        <f t="shared" si="21"/>
        <v/>
      </c>
      <c r="J1661" s="50"/>
      <c r="K1661" s="45" t="b">
        <v>0</v>
      </c>
      <c r="L1661" s="45"/>
      <c r="M1661" s="45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  <c r="AB1661" s="26"/>
      <c r="AC1661" s="26"/>
      <c r="AD1661" s="26"/>
      <c r="AE1661" s="26"/>
      <c r="AF1661" s="26"/>
      <c r="AG1661" s="26"/>
      <c r="AH1661" s="26"/>
      <c r="AI1661" s="26"/>
      <c r="AJ1661" s="26"/>
      <c r="AK1661" s="2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46"/>
      <c r="BM1661" s="46"/>
      <c r="BN1661" s="46"/>
      <c r="BO1661" s="46"/>
    </row>
    <row r="1662">
      <c r="A1662" s="16" t="str">
        <f t="shared" si="14"/>
        <v/>
      </c>
      <c r="B1662" s="16" t="str">
        <f t="shared" si="15"/>
        <v/>
      </c>
      <c r="C1662" s="35" t="str">
        <f t="shared" si="16"/>
        <v/>
      </c>
      <c r="D1662" s="35" t="str">
        <f t="shared" si="17"/>
        <v/>
      </c>
      <c r="E1662" s="35" t="str">
        <f t="shared" si="18"/>
        <v/>
      </c>
      <c r="F1662" s="35" t="str">
        <f t="shared" si="19"/>
        <v/>
      </c>
      <c r="G1662" s="35" t="str">
        <f t="shared" si="20"/>
        <v/>
      </c>
      <c r="H1662" s="49"/>
      <c r="I1662" s="47" t="str">
        <f t="shared" si="21"/>
        <v/>
      </c>
      <c r="J1662" s="50"/>
      <c r="K1662" s="45" t="b">
        <v>0</v>
      </c>
      <c r="L1662" s="45"/>
      <c r="M1662" s="45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  <c r="AB1662" s="26"/>
      <c r="AC1662" s="26"/>
      <c r="AD1662" s="26"/>
      <c r="AE1662" s="26"/>
      <c r="AF1662" s="26"/>
      <c r="AG1662" s="26"/>
      <c r="AH1662" s="26"/>
      <c r="AI1662" s="26"/>
      <c r="AJ1662" s="26"/>
      <c r="AK1662" s="2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/>
    </row>
    <row r="1663">
      <c r="A1663" s="16" t="str">
        <f t="shared" si="14"/>
        <v/>
      </c>
      <c r="B1663" s="16" t="str">
        <f t="shared" si="15"/>
        <v/>
      </c>
      <c r="C1663" s="35" t="str">
        <f t="shared" si="16"/>
        <v/>
      </c>
      <c r="D1663" s="35" t="str">
        <f t="shared" si="17"/>
        <v/>
      </c>
      <c r="E1663" s="35" t="str">
        <f t="shared" si="18"/>
        <v/>
      </c>
      <c r="F1663" s="35" t="str">
        <f t="shared" si="19"/>
        <v/>
      </c>
      <c r="G1663" s="35" t="str">
        <f t="shared" si="20"/>
        <v/>
      </c>
      <c r="H1663" s="49"/>
      <c r="I1663" s="47" t="str">
        <f t="shared" si="21"/>
        <v/>
      </c>
      <c r="J1663" s="50"/>
      <c r="K1663" s="45" t="b">
        <v>0</v>
      </c>
      <c r="L1663" s="45"/>
      <c r="M1663" s="45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  <c r="AC1663" s="26"/>
      <c r="AD1663" s="26"/>
      <c r="AE1663" s="26"/>
      <c r="AF1663" s="26"/>
      <c r="AG1663" s="26"/>
      <c r="AH1663" s="26"/>
      <c r="AI1663" s="26"/>
      <c r="AJ1663" s="26"/>
      <c r="AK1663" s="2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46"/>
      <c r="BM1663" s="46"/>
      <c r="BN1663" s="46"/>
      <c r="BO1663" s="46"/>
    </row>
    <row r="1664">
      <c r="A1664" s="16" t="str">
        <f t="shared" si="14"/>
        <v/>
      </c>
      <c r="B1664" s="16" t="str">
        <f t="shared" si="15"/>
        <v/>
      </c>
      <c r="C1664" s="35" t="str">
        <f t="shared" si="16"/>
        <v/>
      </c>
      <c r="D1664" s="35" t="str">
        <f t="shared" si="17"/>
        <v/>
      </c>
      <c r="E1664" s="35" t="str">
        <f t="shared" si="18"/>
        <v/>
      </c>
      <c r="F1664" s="35" t="str">
        <f t="shared" si="19"/>
        <v/>
      </c>
      <c r="G1664" s="35" t="str">
        <f t="shared" si="20"/>
        <v/>
      </c>
      <c r="H1664" s="49"/>
      <c r="I1664" s="47" t="str">
        <f t="shared" si="21"/>
        <v/>
      </c>
      <c r="J1664" s="50"/>
      <c r="K1664" s="45" t="b">
        <v>0</v>
      </c>
      <c r="L1664" s="45"/>
      <c r="M1664" s="45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  <c r="AC1664" s="26"/>
      <c r="AD1664" s="26"/>
      <c r="AE1664" s="26"/>
      <c r="AF1664" s="26"/>
      <c r="AG1664" s="26"/>
      <c r="AH1664" s="26"/>
      <c r="AI1664" s="26"/>
      <c r="AJ1664" s="26"/>
      <c r="AK1664" s="2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46"/>
      <c r="BM1664" s="46"/>
      <c r="BN1664" s="46"/>
      <c r="BO1664" s="46"/>
    </row>
    <row r="1665">
      <c r="A1665" s="16" t="str">
        <f t="shared" si="14"/>
        <v/>
      </c>
      <c r="B1665" s="16" t="str">
        <f t="shared" si="15"/>
        <v/>
      </c>
      <c r="C1665" s="35" t="str">
        <f t="shared" si="16"/>
        <v/>
      </c>
      <c r="D1665" s="35" t="str">
        <f t="shared" si="17"/>
        <v/>
      </c>
      <c r="E1665" s="35" t="str">
        <f t="shared" si="18"/>
        <v/>
      </c>
      <c r="F1665" s="35" t="str">
        <f t="shared" si="19"/>
        <v/>
      </c>
      <c r="G1665" s="35" t="str">
        <f t="shared" si="20"/>
        <v/>
      </c>
      <c r="H1665" s="49"/>
      <c r="I1665" s="47" t="str">
        <f t="shared" si="21"/>
        <v/>
      </c>
      <c r="J1665" s="50"/>
      <c r="K1665" s="45" t="b">
        <v>0</v>
      </c>
      <c r="L1665" s="45"/>
      <c r="M1665" s="45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  <c r="AC1665" s="26"/>
      <c r="AD1665" s="26"/>
      <c r="AE1665" s="26"/>
      <c r="AF1665" s="26"/>
      <c r="AG1665" s="26"/>
      <c r="AH1665" s="26"/>
      <c r="AI1665" s="26"/>
      <c r="AJ1665" s="26"/>
      <c r="AK1665" s="2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46"/>
      <c r="BM1665" s="46"/>
      <c r="BN1665" s="46"/>
      <c r="BO1665" s="46"/>
    </row>
    <row r="1666">
      <c r="A1666" s="16" t="str">
        <f t="shared" si="14"/>
        <v/>
      </c>
      <c r="B1666" s="16" t="str">
        <f t="shared" si="15"/>
        <v/>
      </c>
      <c r="C1666" s="35" t="str">
        <f t="shared" si="16"/>
        <v/>
      </c>
      <c r="D1666" s="35" t="str">
        <f t="shared" si="17"/>
        <v/>
      </c>
      <c r="E1666" s="35" t="str">
        <f t="shared" si="18"/>
        <v/>
      </c>
      <c r="F1666" s="35" t="str">
        <f t="shared" si="19"/>
        <v/>
      </c>
      <c r="G1666" s="35" t="str">
        <f t="shared" si="20"/>
        <v/>
      </c>
      <c r="H1666" s="49"/>
      <c r="I1666" s="47" t="str">
        <f t="shared" si="21"/>
        <v/>
      </c>
      <c r="J1666" s="50"/>
      <c r="K1666" s="45" t="b">
        <v>0</v>
      </c>
      <c r="L1666" s="45"/>
      <c r="M1666" s="45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  <c r="AC1666" s="26"/>
      <c r="AD1666" s="26"/>
      <c r="AE1666" s="26"/>
      <c r="AF1666" s="26"/>
      <c r="AG1666" s="26"/>
      <c r="AH1666" s="26"/>
      <c r="AI1666" s="26"/>
      <c r="AJ1666" s="26"/>
      <c r="AK1666" s="2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46"/>
      <c r="BM1666" s="46"/>
      <c r="BN1666" s="46"/>
      <c r="BO1666" s="46"/>
    </row>
    <row r="1667">
      <c r="A1667" s="16" t="str">
        <f t="shared" si="14"/>
        <v/>
      </c>
      <c r="B1667" s="16" t="str">
        <f t="shared" si="15"/>
        <v/>
      </c>
      <c r="C1667" s="35" t="str">
        <f t="shared" si="16"/>
        <v/>
      </c>
      <c r="D1667" s="35" t="str">
        <f t="shared" si="17"/>
        <v/>
      </c>
      <c r="E1667" s="35" t="str">
        <f t="shared" si="18"/>
        <v/>
      </c>
      <c r="F1667" s="35" t="str">
        <f t="shared" si="19"/>
        <v/>
      </c>
      <c r="G1667" s="35" t="str">
        <f t="shared" si="20"/>
        <v/>
      </c>
      <c r="H1667" s="49"/>
      <c r="I1667" s="47" t="str">
        <f t="shared" si="21"/>
        <v/>
      </c>
      <c r="J1667" s="50"/>
      <c r="K1667" s="45" t="b">
        <v>0</v>
      </c>
      <c r="L1667" s="45"/>
      <c r="M1667" s="45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  <c r="AC1667" s="26"/>
      <c r="AD1667" s="26"/>
      <c r="AE1667" s="26"/>
      <c r="AF1667" s="26"/>
      <c r="AG1667" s="26"/>
      <c r="AH1667" s="26"/>
      <c r="AI1667" s="26"/>
      <c r="AJ1667" s="26"/>
      <c r="AK1667" s="2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46"/>
      <c r="BM1667" s="46"/>
      <c r="BN1667" s="46"/>
      <c r="BO1667" s="46"/>
    </row>
    <row r="1668">
      <c r="A1668" s="16" t="str">
        <f t="shared" si="14"/>
        <v/>
      </c>
      <c r="B1668" s="16" t="str">
        <f t="shared" si="15"/>
        <v/>
      </c>
      <c r="C1668" s="35" t="str">
        <f t="shared" si="16"/>
        <v/>
      </c>
      <c r="D1668" s="35" t="str">
        <f t="shared" si="17"/>
        <v/>
      </c>
      <c r="E1668" s="35" t="str">
        <f t="shared" si="18"/>
        <v/>
      </c>
      <c r="F1668" s="35" t="str">
        <f t="shared" si="19"/>
        <v/>
      </c>
      <c r="G1668" s="35" t="str">
        <f t="shared" si="20"/>
        <v/>
      </c>
      <c r="H1668" s="49"/>
      <c r="I1668" s="47" t="str">
        <f t="shared" si="21"/>
        <v/>
      </c>
      <c r="J1668" s="50"/>
      <c r="K1668" s="45" t="b">
        <v>0</v>
      </c>
      <c r="L1668" s="45"/>
      <c r="M1668" s="45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  <c r="AC1668" s="26"/>
      <c r="AD1668" s="26"/>
      <c r="AE1668" s="26"/>
      <c r="AF1668" s="26"/>
      <c r="AG1668" s="26"/>
      <c r="AH1668" s="26"/>
      <c r="AI1668" s="26"/>
      <c r="AJ1668" s="26"/>
      <c r="AK1668" s="2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46"/>
      <c r="BM1668" s="46"/>
      <c r="BN1668" s="46"/>
      <c r="BO1668" s="46"/>
    </row>
    <row r="1669">
      <c r="A1669" s="16" t="str">
        <f t="shared" si="14"/>
        <v/>
      </c>
      <c r="B1669" s="16" t="str">
        <f t="shared" si="15"/>
        <v/>
      </c>
      <c r="C1669" s="35" t="str">
        <f t="shared" si="16"/>
        <v/>
      </c>
      <c r="D1669" s="35" t="str">
        <f t="shared" si="17"/>
        <v/>
      </c>
      <c r="E1669" s="35" t="str">
        <f t="shared" si="18"/>
        <v/>
      </c>
      <c r="F1669" s="35" t="str">
        <f t="shared" si="19"/>
        <v/>
      </c>
      <c r="G1669" s="35" t="str">
        <f t="shared" si="20"/>
        <v/>
      </c>
      <c r="H1669" s="49"/>
      <c r="I1669" s="47" t="str">
        <f t="shared" si="21"/>
        <v/>
      </c>
      <c r="J1669" s="50"/>
      <c r="K1669" s="45" t="b">
        <v>0</v>
      </c>
      <c r="L1669" s="45"/>
      <c r="M1669" s="45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  <c r="AC1669" s="26"/>
      <c r="AD1669" s="26"/>
      <c r="AE1669" s="26"/>
      <c r="AF1669" s="26"/>
      <c r="AG1669" s="26"/>
      <c r="AH1669" s="26"/>
      <c r="AI1669" s="26"/>
      <c r="AJ1669" s="26"/>
      <c r="AK1669" s="2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46"/>
      <c r="BM1669" s="46"/>
      <c r="BN1669" s="46"/>
      <c r="BO1669" s="46"/>
    </row>
    <row r="1670">
      <c r="A1670" s="16" t="str">
        <f t="shared" si="14"/>
        <v/>
      </c>
      <c r="B1670" s="16" t="str">
        <f t="shared" si="15"/>
        <v/>
      </c>
      <c r="C1670" s="35" t="str">
        <f t="shared" si="16"/>
        <v/>
      </c>
      <c r="D1670" s="35" t="str">
        <f t="shared" si="17"/>
        <v/>
      </c>
      <c r="E1670" s="35" t="str">
        <f t="shared" si="18"/>
        <v/>
      </c>
      <c r="F1670" s="35" t="str">
        <f t="shared" si="19"/>
        <v/>
      </c>
      <c r="G1670" s="35" t="str">
        <f t="shared" si="20"/>
        <v/>
      </c>
      <c r="H1670" s="49"/>
      <c r="I1670" s="47" t="str">
        <f t="shared" si="21"/>
        <v/>
      </c>
      <c r="J1670" s="50"/>
      <c r="K1670" s="45" t="b">
        <v>0</v>
      </c>
      <c r="L1670" s="45"/>
      <c r="M1670" s="45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  <c r="AC1670" s="26"/>
      <c r="AD1670" s="26"/>
      <c r="AE1670" s="26"/>
      <c r="AF1670" s="26"/>
      <c r="AG1670" s="26"/>
      <c r="AH1670" s="26"/>
      <c r="AI1670" s="26"/>
      <c r="AJ1670" s="26"/>
      <c r="AK1670" s="2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</row>
    <row r="1671">
      <c r="A1671" s="16" t="str">
        <f t="shared" si="14"/>
        <v/>
      </c>
      <c r="B1671" s="16" t="str">
        <f t="shared" si="15"/>
        <v/>
      </c>
      <c r="C1671" s="35" t="str">
        <f t="shared" si="16"/>
        <v/>
      </c>
      <c r="D1671" s="35" t="str">
        <f t="shared" si="17"/>
        <v/>
      </c>
      <c r="E1671" s="35" t="str">
        <f t="shared" si="18"/>
        <v/>
      </c>
      <c r="F1671" s="35" t="str">
        <f t="shared" si="19"/>
        <v/>
      </c>
      <c r="G1671" s="35" t="str">
        <f t="shared" si="20"/>
        <v/>
      </c>
      <c r="H1671" s="49"/>
      <c r="I1671" s="47" t="str">
        <f t="shared" si="21"/>
        <v/>
      </c>
      <c r="J1671" s="50"/>
      <c r="K1671" s="45" t="b">
        <v>0</v>
      </c>
      <c r="L1671" s="45"/>
      <c r="M1671" s="45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  <c r="AB1671" s="26"/>
      <c r="AC1671" s="26"/>
      <c r="AD1671" s="26"/>
      <c r="AE1671" s="26"/>
      <c r="AF1671" s="26"/>
      <c r="AG1671" s="26"/>
      <c r="AH1671" s="26"/>
      <c r="AI1671" s="26"/>
      <c r="AJ1671" s="26"/>
      <c r="AK1671" s="2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</row>
    <row r="1672">
      <c r="A1672" s="16" t="str">
        <f t="shared" si="14"/>
        <v/>
      </c>
      <c r="B1672" s="16" t="str">
        <f t="shared" si="15"/>
        <v/>
      </c>
      <c r="C1672" s="35" t="str">
        <f t="shared" si="16"/>
        <v/>
      </c>
      <c r="D1672" s="35" t="str">
        <f t="shared" si="17"/>
        <v/>
      </c>
      <c r="E1672" s="35" t="str">
        <f t="shared" si="18"/>
        <v/>
      </c>
      <c r="F1672" s="35" t="str">
        <f t="shared" si="19"/>
        <v/>
      </c>
      <c r="G1672" s="35" t="str">
        <f t="shared" si="20"/>
        <v/>
      </c>
      <c r="H1672" s="49"/>
      <c r="I1672" s="47" t="str">
        <f t="shared" si="21"/>
        <v/>
      </c>
      <c r="J1672" s="50"/>
      <c r="K1672" s="45" t="b">
        <v>0</v>
      </c>
      <c r="L1672" s="45"/>
      <c r="M1672" s="45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  <c r="AC1672" s="26"/>
      <c r="AD1672" s="26"/>
      <c r="AE1672" s="26"/>
      <c r="AF1672" s="26"/>
      <c r="AG1672" s="26"/>
      <c r="AH1672" s="26"/>
      <c r="AI1672" s="26"/>
      <c r="AJ1672" s="26"/>
      <c r="AK1672" s="2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46"/>
      <c r="BM1672" s="46"/>
      <c r="BN1672" s="46"/>
      <c r="BO1672" s="46"/>
    </row>
    <row r="1673">
      <c r="A1673" s="16" t="str">
        <f t="shared" si="14"/>
        <v/>
      </c>
      <c r="B1673" s="16" t="str">
        <f t="shared" si="15"/>
        <v/>
      </c>
      <c r="C1673" s="35" t="str">
        <f t="shared" si="16"/>
        <v/>
      </c>
      <c r="D1673" s="35" t="str">
        <f t="shared" si="17"/>
        <v/>
      </c>
      <c r="E1673" s="35" t="str">
        <f t="shared" si="18"/>
        <v/>
      </c>
      <c r="F1673" s="35" t="str">
        <f t="shared" si="19"/>
        <v/>
      </c>
      <c r="G1673" s="35" t="str">
        <f t="shared" si="20"/>
        <v/>
      </c>
      <c r="H1673" s="49"/>
      <c r="I1673" s="47" t="str">
        <f t="shared" si="21"/>
        <v/>
      </c>
      <c r="J1673" s="50"/>
      <c r="K1673" s="45" t="b">
        <v>0</v>
      </c>
      <c r="L1673" s="45"/>
      <c r="M1673" s="45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46"/>
      <c r="BM1673" s="46"/>
      <c r="BN1673" s="46"/>
      <c r="BO1673" s="46"/>
    </row>
    <row r="1674">
      <c r="A1674" s="16" t="str">
        <f t="shared" si="14"/>
        <v/>
      </c>
      <c r="B1674" s="16" t="str">
        <f t="shared" si="15"/>
        <v/>
      </c>
      <c r="C1674" s="35" t="str">
        <f t="shared" si="16"/>
        <v/>
      </c>
      <c r="D1674" s="35" t="str">
        <f t="shared" si="17"/>
        <v/>
      </c>
      <c r="E1674" s="35" t="str">
        <f t="shared" si="18"/>
        <v/>
      </c>
      <c r="F1674" s="35" t="str">
        <f t="shared" si="19"/>
        <v/>
      </c>
      <c r="G1674" s="35" t="str">
        <f t="shared" si="20"/>
        <v/>
      </c>
      <c r="H1674" s="49"/>
      <c r="I1674" s="47" t="str">
        <f t="shared" si="21"/>
        <v/>
      </c>
      <c r="J1674" s="50"/>
      <c r="K1674" s="45" t="b">
        <v>0</v>
      </c>
      <c r="L1674" s="45"/>
      <c r="M1674" s="45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  <c r="AC1674" s="26"/>
      <c r="AD1674" s="26"/>
      <c r="AE1674" s="26"/>
      <c r="AF1674" s="26"/>
      <c r="AG1674" s="26"/>
      <c r="AH1674" s="26"/>
      <c r="AI1674" s="26"/>
      <c r="AJ1674" s="26"/>
      <c r="AK1674" s="2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46"/>
      <c r="BM1674" s="46"/>
      <c r="BN1674" s="46"/>
      <c r="BO1674" s="46"/>
    </row>
    <row r="1675">
      <c r="A1675" s="16" t="str">
        <f t="shared" si="14"/>
        <v/>
      </c>
      <c r="B1675" s="16" t="str">
        <f t="shared" si="15"/>
        <v/>
      </c>
      <c r="C1675" s="35" t="str">
        <f t="shared" si="16"/>
        <v/>
      </c>
      <c r="D1675" s="35" t="str">
        <f t="shared" si="17"/>
        <v/>
      </c>
      <c r="E1675" s="35" t="str">
        <f t="shared" si="18"/>
        <v/>
      </c>
      <c r="F1675" s="35" t="str">
        <f t="shared" si="19"/>
        <v/>
      </c>
      <c r="G1675" s="35" t="str">
        <f t="shared" si="20"/>
        <v/>
      </c>
      <c r="H1675" s="49"/>
      <c r="I1675" s="47" t="str">
        <f t="shared" si="21"/>
        <v/>
      </c>
      <c r="J1675" s="50"/>
      <c r="K1675" s="45" t="b">
        <v>0</v>
      </c>
      <c r="L1675" s="45"/>
      <c r="M1675" s="45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  <c r="AC1675" s="26"/>
      <c r="AD1675" s="26"/>
      <c r="AE1675" s="26"/>
      <c r="AF1675" s="26"/>
      <c r="AG1675" s="26"/>
      <c r="AH1675" s="26"/>
      <c r="AI1675" s="26"/>
      <c r="AJ1675" s="26"/>
      <c r="AK1675" s="2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46"/>
      <c r="BM1675" s="46"/>
      <c r="BN1675" s="46"/>
      <c r="BO1675" s="46"/>
    </row>
    <row r="1676">
      <c r="A1676" s="16" t="str">
        <f t="shared" si="14"/>
        <v/>
      </c>
      <c r="B1676" s="16" t="str">
        <f t="shared" si="15"/>
        <v/>
      </c>
      <c r="C1676" s="35" t="str">
        <f t="shared" si="16"/>
        <v/>
      </c>
      <c r="D1676" s="35" t="str">
        <f t="shared" si="17"/>
        <v/>
      </c>
      <c r="E1676" s="35" t="str">
        <f t="shared" si="18"/>
        <v/>
      </c>
      <c r="F1676" s="35" t="str">
        <f t="shared" si="19"/>
        <v/>
      </c>
      <c r="G1676" s="35" t="str">
        <f t="shared" si="20"/>
        <v/>
      </c>
      <c r="H1676" s="49"/>
      <c r="I1676" s="47" t="str">
        <f t="shared" si="21"/>
        <v/>
      </c>
      <c r="J1676" s="50"/>
      <c r="K1676" s="45" t="b">
        <v>0</v>
      </c>
      <c r="L1676" s="45"/>
      <c r="M1676" s="45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  <c r="AC1676" s="26"/>
      <c r="AD1676" s="26"/>
      <c r="AE1676" s="26"/>
      <c r="AF1676" s="26"/>
      <c r="AG1676" s="26"/>
      <c r="AH1676" s="26"/>
      <c r="AI1676" s="26"/>
      <c r="AJ1676" s="26"/>
      <c r="AK1676" s="2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46"/>
      <c r="BM1676" s="46"/>
      <c r="BN1676" s="46"/>
      <c r="BO1676" s="46"/>
    </row>
    <row r="1677">
      <c r="A1677" s="16" t="str">
        <f t="shared" si="14"/>
        <v/>
      </c>
      <c r="B1677" s="16" t="str">
        <f t="shared" si="15"/>
        <v/>
      </c>
      <c r="C1677" s="35" t="str">
        <f t="shared" si="16"/>
        <v/>
      </c>
      <c r="D1677" s="35" t="str">
        <f t="shared" si="17"/>
        <v/>
      </c>
      <c r="E1677" s="35" t="str">
        <f t="shared" si="18"/>
        <v/>
      </c>
      <c r="F1677" s="35" t="str">
        <f t="shared" si="19"/>
        <v/>
      </c>
      <c r="G1677" s="35" t="str">
        <f t="shared" si="20"/>
        <v/>
      </c>
      <c r="H1677" s="49"/>
      <c r="I1677" s="47" t="str">
        <f t="shared" si="21"/>
        <v/>
      </c>
      <c r="J1677" s="50"/>
      <c r="K1677" s="45" t="b">
        <v>0</v>
      </c>
      <c r="L1677" s="45"/>
      <c r="M1677" s="45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  <c r="AC1677" s="26"/>
      <c r="AD1677" s="26"/>
      <c r="AE1677" s="26"/>
      <c r="AF1677" s="26"/>
      <c r="AG1677" s="26"/>
      <c r="AH1677" s="26"/>
      <c r="AI1677" s="26"/>
      <c r="AJ1677" s="26"/>
      <c r="AK1677" s="2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46"/>
      <c r="BM1677" s="46"/>
      <c r="BN1677" s="46"/>
      <c r="BO1677" s="46"/>
    </row>
    <row r="1678">
      <c r="A1678" s="16" t="str">
        <f t="shared" si="14"/>
        <v/>
      </c>
      <c r="B1678" s="16" t="str">
        <f t="shared" si="15"/>
        <v/>
      </c>
      <c r="C1678" s="35" t="str">
        <f t="shared" si="16"/>
        <v/>
      </c>
      <c r="D1678" s="35" t="str">
        <f t="shared" si="17"/>
        <v/>
      </c>
      <c r="E1678" s="35" t="str">
        <f t="shared" si="18"/>
        <v/>
      </c>
      <c r="F1678" s="35" t="str">
        <f t="shared" si="19"/>
        <v/>
      </c>
      <c r="G1678" s="35" t="str">
        <f t="shared" si="20"/>
        <v/>
      </c>
      <c r="H1678" s="49"/>
      <c r="I1678" s="47" t="str">
        <f t="shared" si="21"/>
        <v/>
      </c>
      <c r="J1678" s="50"/>
      <c r="K1678" s="45" t="b">
        <v>0</v>
      </c>
      <c r="L1678" s="45"/>
      <c r="M1678" s="45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  <c r="AC1678" s="26"/>
      <c r="AD1678" s="26"/>
      <c r="AE1678" s="26"/>
      <c r="AF1678" s="26"/>
      <c r="AG1678" s="26"/>
      <c r="AH1678" s="26"/>
      <c r="AI1678" s="26"/>
      <c r="AJ1678" s="26"/>
      <c r="AK1678" s="2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46"/>
      <c r="BM1678" s="46"/>
      <c r="BN1678" s="46"/>
      <c r="BO1678" s="46"/>
    </row>
    <row r="1679">
      <c r="A1679" s="16" t="str">
        <f t="shared" si="14"/>
        <v/>
      </c>
      <c r="B1679" s="16" t="str">
        <f t="shared" si="15"/>
        <v/>
      </c>
      <c r="C1679" s="35" t="str">
        <f t="shared" si="16"/>
        <v/>
      </c>
      <c r="D1679" s="35" t="str">
        <f t="shared" si="17"/>
        <v/>
      </c>
      <c r="E1679" s="35" t="str">
        <f t="shared" si="18"/>
        <v/>
      </c>
      <c r="F1679" s="35" t="str">
        <f t="shared" si="19"/>
        <v/>
      </c>
      <c r="G1679" s="35" t="str">
        <f t="shared" si="20"/>
        <v/>
      </c>
      <c r="H1679" s="49"/>
      <c r="I1679" s="47" t="str">
        <f t="shared" si="21"/>
        <v/>
      </c>
      <c r="J1679" s="50"/>
      <c r="K1679" s="45" t="b">
        <v>0</v>
      </c>
      <c r="L1679" s="45"/>
      <c r="M1679" s="45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  <c r="AC1679" s="26"/>
      <c r="AD1679" s="26"/>
      <c r="AE1679" s="26"/>
      <c r="AF1679" s="26"/>
      <c r="AG1679" s="26"/>
      <c r="AH1679" s="26"/>
      <c r="AI1679" s="26"/>
      <c r="AJ1679" s="26"/>
      <c r="AK1679" s="2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46"/>
      <c r="BM1679" s="46"/>
      <c r="BN1679" s="46"/>
      <c r="BO1679" s="46"/>
    </row>
    <row r="1680">
      <c r="A1680" s="16" t="str">
        <f t="shared" si="14"/>
        <v/>
      </c>
      <c r="B1680" s="16" t="str">
        <f t="shared" si="15"/>
        <v/>
      </c>
      <c r="C1680" s="35" t="str">
        <f t="shared" si="16"/>
        <v/>
      </c>
      <c r="D1680" s="35" t="str">
        <f t="shared" si="17"/>
        <v/>
      </c>
      <c r="E1680" s="35" t="str">
        <f t="shared" si="18"/>
        <v/>
      </c>
      <c r="F1680" s="35" t="str">
        <f t="shared" si="19"/>
        <v/>
      </c>
      <c r="G1680" s="35" t="str">
        <f t="shared" si="20"/>
        <v/>
      </c>
      <c r="H1680" s="49"/>
      <c r="I1680" s="47" t="str">
        <f t="shared" si="21"/>
        <v/>
      </c>
      <c r="J1680" s="50"/>
      <c r="K1680" s="45" t="b">
        <v>0</v>
      </c>
      <c r="L1680" s="45"/>
      <c r="M1680" s="45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  <c r="AD1680" s="26"/>
      <c r="AE1680" s="26"/>
      <c r="AF1680" s="26"/>
      <c r="AG1680" s="26"/>
      <c r="AH1680" s="26"/>
      <c r="AI1680" s="26"/>
      <c r="AJ1680" s="26"/>
      <c r="AK1680" s="2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46"/>
      <c r="BM1680" s="46"/>
      <c r="BN1680" s="46"/>
      <c r="BO1680" s="46"/>
    </row>
    <row r="1681">
      <c r="A1681" s="16" t="str">
        <f t="shared" si="14"/>
        <v/>
      </c>
      <c r="B1681" s="16" t="str">
        <f t="shared" si="15"/>
        <v/>
      </c>
      <c r="C1681" s="35" t="str">
        <f t="shared" si="16"/>
        <v/>
      </c>
      <c r="D1681" s="35" t="str">
        <f t="shared" si="17"/>
        <v/>
      </c>
      <c r="E1681" s="35" t="str">
        <f t="shared" si="18"/>
        <v/>
      </c>
      <c r="F1681" s="35" t="str">
        <f t="shared" si="19"/>
        <v/>
      </c>
      <c r="G1681" s="35" t="str">
        <f t="shared" si="20"/>
        <v/>
      </c>
      <c r="H1681" s="49"/>
      <c r="I1681" s="47" t="str">
        <f t="shared" si="21"/>
        <v/>
      </c>
      <c r="J1681" s="50"/>
      <c r="K1681" s="45" t="b">
        <v>0</v>
      </c>
      <c r="L1681" s="45"/>
      <c r="M1681" s="45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  <c r="AB1681" s="26"/>
      <c r="AC1681" s="26"/>
      <c r="AD1681" s="26"/>
      <c r="AE1681" s="26"/>
      <c r="AF1681" s="26"/>
      <c r="AG1681" s="26"/>
      <c r="AH1681" s="26"/>
      <c r="AI1681" s="26"/>
      <c r="AJ1681" s="26"/>
      <c r="AK1681" s="2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46"/>
      <c r="BM1681" s="46"/>
      <c r="BN1681" s="46"/>
      <c r="BO1681" s="46"/>
    </row>
    <row r="1682">
      <c r="A1682" s="16" t="str">
        <f t="shared" si="14"/>
        <v/>
      </c>
      <c r="B1682" s="16" t="str">
        <f t="shared" si="15"/>
        <v/>
      </c>
      <c r="C1682" s="35" t="str">
        <f t="shared" si="16"/>
        <v/>
      </c>
      <c r="D1682" s="35" t="str">
        <f t="shared" si="17"/>
        <v/>
      </c>
      <c r="E1682" s="35" t="str">
        <f t="shared" si="18"/>
        <v/>
      </c>
      <c r="F1682" s="35" t="str">
        <f t="shared" si="19"/>
        <v/>
      </c>
      <c r="G1682" s="35" t="str">
        <f t="shared" si="20"/>
        <v/>
      </c>
      <c r="H1682" s="49"/>
      <c r="I1682" s="47" t="str">
        <f t="shared" si="21"/>
        <v/>
      </c>
      <c r="J1682" s="50"/>
      <c r="K1682" s="45" t="b">
        <v>0</v>
      </c>
      <c r="L1682" s="45"/>
      <c r="M1682" s="45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  <c r="AB1682" s="26"/>
      <c r="AC1682" s="26"/>
      <c r="AD1682" s="26"/>
      <c r="AE1682" s="26"/>
      <c r="AF1682" s="26"/>
      <c r="AG1682" s="26"/>
      <c r="AH1682" s="26"/>
      <c r="AI1682" s="26"/>
      <c r="AJ1682" s="26"/>
      <c r="AK1682" s="2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46"/>
      <c r="BM1682" s="46"/>
      <c r="BN1682" s="46"/>
      <c r="BO1682" s="46"/>
    </row>
    <row r="1683">
      <c r="A1683" s="16" t="str">
        <f t="shared" si="14"/>
        <v/>
      </c>
      <c r="B1683" s="16" t="str">
        <f t="shared" si="15"/>
        <v/>
      </c>
      <c r="C1683" s="35" t="str">
        <f t="shared" si="16"/>
        <v/>
      </c>
      <c r="D1683" s="35" t="str">
        <f t="shared" si="17"/>
        <v/>
      </c>
      <c r="E1683" s="35" t="str">
        <f t="shared" si="18"/>
        <v/>
      </c>
      <c r="F1683" s="35" t="str">
        <f t="shared" si="19"/>
        <v/>
      </c>
      <c r="G1683" s="35" t="str">
        <f t="shared" si="20"/>
        <v/>
      </c>
      <c r="H1683" s="49"/>
      <c r="I1683" s="47" t="str">
        <f t="shared" si="21"/>
        <v/>
      </c>
      <c r="J1683" s="50"/>
      <c r="K1683" s="45" t="b">
        <v>0</v>
      </c>
      <c r="L1683" s="45"/>
      <c r="M1683" s="45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  <c r="AB1683" s="26"/>
      <c r="AC1683" s="26"/>
      <c r="AD1683" s="26"/>
      <c r="AE1683" s="26"/>
      <c r="AF1683" s="26"/>
      <c r="AG1683" s="26"/>
      <c r="AH1683" s="26"/>
      <c r="AI1683" s="26"/>
      <c r="AJ1683" s="26"/>
      <c r="AK1683" s="2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46"/>
      <c r="BM1683" s="46"/>
      <c r="BN1683" s="46"/>
      <c r="BO1683" s="46"/>
    </row>
    <row r="1684">
      <c r="A1684" s="16" t="str">
        <f t="shared" si="14"/>
        <v/>
      </c>
      <c r="B1684" s="16" t="str">
        <f t="shared" si="15"/>
        <v/>
      </c>
      <c r="C1684" s="35" t="str">
        <f t="shared" si="16"/>
        <v/>
      </c>
      <c r="D1684" s="35" t="str">
        <f t="shared" si="17"/>
        <v/>
      </c>
      <c r="E1684" s="35" t="str">
        <f t="shared" si="18"/>
        <v/>
      </c>
      <c r="F1684" s="35" t="str">
        <f t="shared" si="19"/>
        <v/>
      </c>
      <c r="G1684" s="35" t="str">
        <f t="shared" si="20"/>
        <v/>
      </c>
      <c r="H1684" s="49"/>
      <c r="I1684" s="47" t="str">
        <f t="shared" si="21"/>
        <v/>
      </c>
      <c r="J1684" s="50"/>
      <c r="K1684" s="45" t="b">
        <v>0</v>
      </c>
      <c r="L1684" s="45"/>
      <c r="M1684" s="45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  <c r="AB1684" s="26"/>
      <c r="AC1684" s="26"/>
      <c r="AD1684" s="26"/>
      <c r="AE1684" s="26"/>
      <c r="AF1684" s="26"/>
      <c r="AG1684" s="26"/>
      <c r="AH1684" s="26"/>
      <c r="AI1684" s="26"/>
      <c r="AJ1684" s="26"/>
      <c r="AK1684" s="2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46"/>
      <c r="BM1684" s="46"/>
      <c r="BN1684" s="46"/>
      <c r="BO1684" s="46"/>
    </row>
    <row r="1685">
      <c r="A1685" s="16" t="str">
        <f t="shared" si="14"/>
        <v/>
      </c>
      <c r="B1685" s="16" t="str">
        <f t="shared" si="15"/>
        <v/>
      </c>
      <c r="C1685" s="35" t="str">
        <f t="shared" si="16"/>
        <v/>
      </c>
      <c r="D1685" s="35" t="str">
        <f t="shared" si="17"/>
        <v/>
      </c>
      <c r="E1685" s="35" t="str">
        <f t="shared" si="18"/>
        <v/>
      </c>
      <c r="F1685" s="35" t="str">
        <f t="shared" si="19"/>
        <v/>
      </c>
      <c r="G1685" s="35" t="str">
        <f t="shared" si="20"/>
        <v/>
      </c>
      <c r="H1685" s="49"/>
      <c r="I1685" s="47" t="str">
        <f t="shared" si="21"/>
        <v/>
      </c>
      <c r="J1685" s="50"/>
      <c r="K1685" s="45" t="b">
        <v>0</v>
      </c>
      <c r="L1685" s="45"/>
      <c r="M1685" s="45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  <c r="AC1685" s="26"/>
      <c r="AD1685" s="26"/>
      <c r="AE1685" s="26"/>
      <c r="AF1685" s="26"/>
      <c r="AG1685" s="26"/>
      <c r="AH1685" s="26"/>
      <c r="AI1685" s="26"/>
      <c r="AJ1685" s="26"/>
      <c r="AK1685" s="2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46"/>
      <c r="BM1685" s="46"/>
      <c r="BN1685" s="46"/>
      <c r="BO1685" s="46"/>
    </row>
    <row r="1686">
      <c r="A1686" s="16" t="str">
        <f t="shared" si="14"/>
        <v/>
      </c>
      <c r="B1686" s="16" t="str">
        <f t="shared" si="15"/>
        <v/>
      </c>
      <c r="C1686" s="35" t="str">
        <f t="shared" si="16"/>
        <v/>
      </c>
      <c r="D1686" s="35" t="str">
        <f t="shared" si="17"/>
        <v/>
      </c>
      <c r="E1686" s="35" t="str">
        <f t="shared" si="18"/>
        <v/>
      </c>
      <c r="F1686" s="35" t="str">
        <f t="shared" si="19"/>
        <v/>
      </c>
      <c r="G1686" s="35" t="str">
        <f t="shared" si="20"/>
        <v/>
      </c>
      <c r="H1686" s="49"/>
      <c r="I1686" s="47" t="str">
        <f t="shared" si="21"/>
        <v/>
      </c>
      <c r="J1686" s="50"/>
      <c r="K1686" s="45" t="b">
        <v>0</v>
      </c>
      <c r="L1686" s="45"/>
      <c r="M1686" s="45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  <c r="AB1686" s="26"/>
      <c r="AC1686" s="26"/>
      <c r="AD1686" s="26"/>
      <c r="AE1686" s="26"/>
      <c r="AF1686" s="26"/>
      <c r="AG1686" s="26"/>
      <c r="AH1686" s="26"/>
      <c r="AI1686" s="26"/>
      <c r="AJ1686" s="26"/>
      <c r="AK1686" s="2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46"/>
      <c r="BM1686" s="46"/>
      <c r="BN1686" s="46"/>
      <c r="BO1686" s="46"/>
    </row>
    <row r="1687">
      <c r="A1687" s="16" t="str">
        <f t="shared" si="14"/>
        <v/>
      </c>
      <c r="B1687" s="16" t="str">
        <f t="shared" si="15"/>
        <v/>
      </c>
      <c r="C1687" s="35" t="str">
        <f t="shared" si="16"/>
        <v/>
      </c>
      <c r="D1687" s="35" t="str">
        <f t="shared" si="17"/>
        <v/>
      </c>
      <c r="E1687" s="35" t="str">
        <f t="shared" si="18"/>
        <v/>
      </c>
      <c r="F1687" s="35" t="str">
        <f t="shared" si="19"/>
        <v/>
      </c>
      <c r="G1687" s="35" t="str">
        <f t="shared" si="20"/>
        <v/>
      </c>
      <c r="H1687" s="49"/>
      <c r="I1687" s="47" t="str">
        <f t="shared" si="21"/>
        <v/>
      </c>
      <c r="J1687" s="50"/>
      <c r="K1687" s="45" t="b">
        <v>0</v>
      </c>
      <c r="L1687" s="45"/>
      <c r="M1687" s="45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  <c r="AB1687" s="26"/>
      <c r="AC1687" s="26"/>
      <c r="AD1687" s="26"/>
      <c r="AE1687" s="26"/>
      <c r="AF1687" s="26"/>
      <c r="AG1687" s="26"/>
      <c r="AH1687" s="26"/>
      <c r="AI1687" s="26"/>
      <c r="AJ1687" s="26"/>
      <c r="AK1687" s="2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46"/>
      <c r="BM1687" s="46"/>
      <c r="BN1687" s="46"/>
      <c r="BO1687" s="46"/>
    </row>
    <row r="1688">
      <c r="A1688" s="16" t="str">
        <f t="shared" si="14"/>
        <v/>
      </c>
      <c r="B1688" s="16" t="str">
        <f t="shared" si="15"/>
        <v/>
      </c>
      <c r="C1688" s="35" t="str">
        <f t="shared" si="16"/>
        <v/>
      </c>
      <c r="D1688" s="35" t="str">
        <f t="shared" si="17"/>
        <v/>
      </c>
      <c r="E1688" s="35" t="str">
        <f t="shared" si="18"/>
        <v/>
      </c>
      <c r="F1688" s="35" t="str">
        <f t="shared" si="19"/>
        <v/>
      </c>
      <c r="G1688" s="35" t="str">
        <f t="shared" si="20"/>
        <v/>
      </c>
      <c r="H1688" s="49"/>
      <c r="I1688" s="47" t="str">
        <f t="shared" si="21"/>
        <v/>
      </c>
      <c r="J1688" s="50"/>
      <c r="K1688" s="45" t="b">
        <v>0</v>
      </c>
      <c r="L1688" s="45"/>
      <c r="M1688" s="45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  <c r="AB1688" s="26"/>
      <c r="AC1688" s="26"/>
      <c r="AD1688" s="26"/>
      <c r="AE1688" s="26"/>
      <c r="AF1688" s="26"/>
      <c r="AG1688" s="26"/>
      <c r="AH1688" s="26"/>
      <c r="AI1688" s="26"/>
      <c r="AJ1688" s="26"/>
      <c r="AK1688" s="2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46"/>
      <c r="BM1688" s="46"/>
      <c r="BN1688" s="46"/>
      <c r="BO1688" s="46"/>
    </row>
    <row r="1689">
      <c r="A1689" s="16" t="str">
        <f t="shared" si="14"/>
        <v/>
      </c>
      <c r="B1689" s="16" t="str">
        <f t="shared" si="15"/>
        <v/>
      </c>
      <c r="C1689" s="35" t="str">
        <f t="shared" si="16"/>
        <v/>
      </c>
      <c r="D1689" s="35" t="str">
        <f t="shared" si="17"/>
        <v/>
      </c>
      <c r="E1689" s="35" t="str">
        <f t="shared" si="18"/>
        <v/>
      </c>
      <c r="F1689" s="35" t="str">
        <f t="shared" si="19"/>
        <v/>
      </c>
      <c r="G1689" s="35" t="str">
        <f t="shared" si="20"/>
        <v/>
      </c>
      <c r="H1689" s="49"/>
      <c r="I1689" s="47" t="str">
        <f t="shared" si="21"/>
        <v/>
      </c>
      <c r="J1689" s="50"/>
      <c r="K1689" s="45" t="b">
        <v>0</v>
      </c>
      <c r="L1689" s="45"/>
      <c r="M1689" s="45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  <c r="AB1689" s="26"/>
      <c r="AC1689" s="26"/>
      <c r="AD1689" s="26"/>
      <c r="AE1689" s="26"/>
      <c r="AF1689" s="26"/>
      <c r="AG1689" s="26"/>
      <c r="AH1689" s="26"/>
      <c r="AI1689" s="26"/>
      <c r="AJ1689" s="26"/>
      <c r="AK1689" s="2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46"/>
      <c r="BM1689" s="46"/>
      <c r="BN1689" s="46"/>
      <c r="BO1689" s="46"/>
    </row>
    <row r="1690">
      <c r="A1690" s="16" t="str">
        <f t="shared" si="14"/>
        <v/>
      </c>
      <c r="B1690" s="16" t="str">
        <f t="shared" si="15"/>
        <v/>
      </c>
      <c r="C1690" s="35" t="str">
        <f t="shared" si="16"/>
        <v/>
      </c>
      <c r="D1690" s="35" t="str">
        <f t="shared" si="17"/>
        <v/>
      </c>
      <c r="E1690" s="35" t="str">
        <f t="shared" si="18"/>
        <v/>
      </c>
      <c r="F1690" s="35" t="str">
        <f t="shared" si="19"/>
        <v/>
      </c>
      <c r="G1690" s="35" t="str">
        <f t="shared" si="20"/>
        <v/>
      </c>
      <c r="H1690" s="49"/>
      <c r="I1690" s="47" t="str">
        <f t="shared" si="21"/>
        <v/>
      </c>
      <c r="J1690" s="50"/>
      <c r="K1690" s="45" t="b">
        <v>0</v>
      </c>
      <c r="L1690" s="45"/>
      <c r="M1690" s="45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  <c r="AB1690" s="26"/>
      <c r="AC1690" s="26"/>
      <c r="AD1690" s="26"/>
      <c r="AE1690" s="26"/>
      <c r="AF1690" s="26"/>
      <c r="AG1690" s="26"/>
      <c r="AH1690" s="26"/>
      <c r="AI1690" s="26"/>
      <c r="AJ1690" s="26"/>
      <c r="AK1690" s="2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46"/>
      <c r="BM1690" s="46"/>
      <c r="BN1690" s="46"/>
      <c r="BO1690" s="46"/>
    </row>
    <row r="1691">
      <c r="A1691" s="16" t="str">
        <f t="shared" si="14"/>
        <v/>
      </c>
      <c r="B1691" s="16" t="str">
        <f t="shared" si="15"/>
        <v/>
      </c>
      <c r="C1691" s="35" t="str">
        <f t="shared" si="16"/>
        <v/>
      </c>
      <c r="D1691" s="35" t="str">
        <f t="shared" si="17"/>
        <v/>
      </c>
      <c r="E1691" s="35" t="str">
        <f t="shared" si="18"/>
        <v/>
      </c>
      <c r="F1691" s="35" t="str">
        <f t="shared" si="19"/>
        <v/>
      </c>
      <c r="G1691" s="35" t="str">
        <f t="shared" si="20"/>
        <v/>
      </c>
      <c r="H1691" s="49"/>
      <c r="I1691" s="47" t="str">
        <f t="shared" si="21"/>
        <v/>
      </c>
      <c r="J1691" s="50"/>
      <c r="K1691" s="45" t="b">
        <v>0</v>
      </c>
      <c r="L1691" s="45"/>
      <c r="M1691" s="45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  <c r="AC1691" s="26"/>
      <c r="AD1691" s="26"/>
      <c r="AE1691" s="26"/>
      <c r="AF1691" s="26"/>
      <c r="AG1691" s="26"/>
      <c r="AH1691" s="26"/>
      <c r="AI1691" s="26"/>
      <c r="AJ1691" s="26"/>
      <c r="AK1691" s="2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46"/>
      <c r="BM1691" s="46"/>
      <c r="BN1691" s="46"/>
      <c r="BO1691" s="46"/>
    </row>
    <row r="1692">
      <c r="A1692" s="16" t="str">
        <f t="shared" si="14"/>
        <v/>
      </c>
      <c r="B1692" s="16" t="str">
        <f t="shared" si="15"/>
        <v/>
      </c>
      <c r="C1692" s="35" t="str">
        <f t="shared" si="16"/>
        <v/>
      </c>
      <c r="D1692" s="35" t="str">
        <f t="shared" si="17"/>
        <v/>
      </c>
      <c r="E1692" s="35" t="str">
        <f t="shared" si="18"/>
        <v/>
      </c>
      <c r="F1692" s="35" t="str">
        <f t="shared" si="19"/>
        <v/>
      </c>
      <c r="G1692" s="35" t="str">
        <f t="shared" si="20"/>
        <v/>
      </c>
      <c r="H1692" s="49"/>
      <c r="I1692" s="47" t="str">
        <f t="shared" si="21"/>
        <v/>
      </c>
      <c r="J1692" s="50"/>
      <c r="K1692" s="45" t="b">
        <v>0</v>
      </c>
      <c r="L1692" s="45"/>
      <c r="M1692" s="45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  <c r="AC1692" s="26"/>
      <c r="AD1692" s="26"/>
      <c r="AE1692" s="26"/>
      <c r="AF1692" s="26"/>
      <c r="AG1692" s="26"/>
      <c r="AH1692" s="26"/>
      <c r="AI1692" s="26"/>
      <c r="AJ1692" s="26"/>
      <c r="AK1692" s="2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46"/>
      <c r="BM1692" s="46"/>
      <c r="BN1692" s="46"/>
      <c r="BO1692" s="46"/>
    </row>
    <row r="1693">
      <c r="A1693" s="16" t="str">
        <f t="shared" si="14"/>
        <v/>
      </c>
      <c r="B1693" s="16" t="str">
        <f t="shared" si="15"/>
        <v/>
      </c>
      <c r="C1693" s="35" t="str">
        <f t="shared" si="16"/>
        <v/>
      </c>
      <c r="D1693" s="35" t="str">
        <f t="shared" si="17"/>
        <v/>
      </c>
      <c r="E1693" s="35" t="str">
        <f t="shared" si="18"/>
        <v/>
      </c>
      <c r="F1693" s="35" t="str">
        <f t="shared" si="19"/>
        <v/>
      </c>
      <c r="G1693" s="35" t="str">
        <f t="shared" si="20"/>
        <v/>
      </c>
      <c r="H1693" s="49"/>
      <c r="I1693" s="47" t="str">
        <f t="shared" si="21"/>
        <v/>
      </c>
      <c r="J1693" s="50"/>
      <c r="K1693" s="45" t="b">
        <v>0</v>
      </c>
      <c r="L1693" s="45"/>
      <c r="M1693" s="45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  <c r="AC1693" s="26"/>
      <c r="AD1693" s="26"/>
      <c r="AE1693" s="26"/>
      <c r="AF1693" s="26"/>
      <c r="AG1693" s="26"/>
      <c r="AH1693" s="26"/>
      <c r="AI1693" s="26"/>
      <c r="AJ1693" s="26"/>
      <c r="AK1693" s="2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46"/>
      <c r="BM1693" s="46"/>
      <c r="BN1693" s="46"/>
      <c r="BO1693" s="46"/>
    </row>
    <row r="1694">
      <c r="A1694" s="16" t="str">
        <f t="shared" si="14"/>
        <v/>
      </c>
      <c r="B1694" s="16" t="str">
        <f t="shared" si="15"/>
        <v/>
      </c>
      <c r="C1694" s="35" t="str">
        <f t="shared" si="16"/>
        <v/>
      </c>
      <c r="D1694" s="35" t="str">
        <f t="shared" si="17"/>
        <v/>
      </c>
      <c r="E1694" s="35" t="str">
        <f t="shared" si="18"/>
        <v/>
      </c>
      <c r="F1694" s="35" t="str">
        <f t="shared" si="19"/>
        <v/>
      </c>
      <c r="G1694" s="35" t="str">
        <f t="shared" si="20"/>
        <v/>
      </c>
      <c r="H1694" s="49"/>
      <c r="I1694" s="47" t="str">
        <f t="shared" si="21"/>
        <v/>
      </c>
      <c r="J1694" s="50"/>
      <c r="K1694" s="45" t="b">
        <v>0</v>
      </c>
      <c r="L1694" s="45"/>
      <c r="M1694" s="45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  <c r="AC1694" s="26"/>
      <c r="AD1694" s="26"/>
      <c r="AE1694" s="26"/>
      <c r="AF1694" s="26"/>
      <c r="AG1694" s="26"/>
      <c r="AH1694" s="26"/>
      <c r="AI1694" s="26"/>
      <c r="AJ1694" s="26"/>
      <c r="AK1694" s="2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/>
    </row>
    <row r="1695">
      <c r="A1695" s="16" t="str">
        <f t="shared" si="14"/>
        <v/>
      </c>
      <c r="B1695" s="16" t="str">
        <f t="shared" si="15"/>
        <v/>
      </c>
      <c r="C1695" s="35" t="str">
        <f t="shared" si="16"/>
        <v/>
      </c>
      <c r="D1695" s="35" t="str">
        <f t="shared" si="17"/>
        <v/>
      </c>
      <c r="E1695" s="35" t="str">
        <f t="shared" si="18"/>
        <v/>
      </c>
      <c r="F1695" s="35" t="str">
        <f t="shared" si="19"/>
        <v/>
      </c>
      <c r="G1695" s="35" t="str">
        <f t="shared" si="20"/>
        <v/>
      </c>
      <c r="H1695" s="49"/>
      <c r="I1695" s="47" t="str">
        <f t="shared" si="21"/>
        <v/>
      </c>
      <c r="J1695" s="50"/>
      <c r="K1695" s="45" t="b">
        <v>0</v>
      </c>
      <c r="L1695" s="45"/>
      <c r="M1695" s="45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  <c r="AC1695" s="26"/>
      <c r="AD1695" s="26"/>
      <c r="AE1695" s="26"/>
      <c r="AF1695" s="26"/>
      <c r="AG1695" s="26"/>
      <c r="AH1695" s="26"/>
      <c r="AI1695" s="26"/>
      <c r="AJ1695" s="26"/>
      <c r="AK1695" s="2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46"/>
      <c r="BM1695" s="46"/>
      <c r="BN1695" s="46"/>
      <c r="BO1695" s="46"/>
    </row>
    <row r="1696">
      <c r="A1696" s="16" t="str">
        <f t="shared" si="14"/>
        <v/>
      </c>
      <c r="B1696" s="16" t="str">
        <f t="shared" si="15"/>
        <v/>
      </c>
      <c r="C1696" s="35" t="str">
        <f t="shared" si="16"/>
        <v/>
      </c>
      <c r="D1696" s="35" t="str">
        <f t="shared" si="17"/>
        <v/>
      </c>
      <c r="E1696" s="35" t="str">
        <f t="shared" si="18"/>
        <v/>
      </c>
      <c r="F1696" s="35" t="str">
        <f t="shared" si="19"/>
        <v/>
      </c>
      <c r="G1696" s="35" t="str">
        <f t="shared" si="20"/>
        <v/>
      </c>
      <c r="H1696" s="49"/>
      <c r="I1696" s="47" t="str">
        <f t="shared" si="21"/>
        <v/>
      </c>
      <c r="J1696" s="50"/>
      <c r="K1696" s="45" t="b">
        <v>0</v>
      </c>
      <c r="L1696" s="45"/>
      <c r="M1696" s="45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  <c r="AC1696" s="26"/>
      <c r="AD1696" s="26"/>
      <c r="AE1696" s="26"/>
      <c r="AF1696" s="26"/>
      <c r="AG1696" s="26"/>
      <c r="AH1696" s="26"/>
      <c r="AI1696" s="26"/>
      <c r="AJ1696" s="26"/>
      <c r="AK1696" s="2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46"/>
      <c r="BM1696" s="46"/>
      <c r="BN1696" s="46"/>
      <c r="BO1696" s="46"/>
    </row>
    <row r="1697">
      <c r="A1697" s="16" t="str">
        <f t="shared" si="14"/>
        <v/>
      </c>
      <c r="B1697" s="16" t="str">
        <f t="shared" si="15"/>
        <v/>
      </c>
      <c r="C1697" s="35" t="str">
        <f t="shared" si="16"/>
        <v/>
      </c>
      <c r="D1697" s="35" t="str">
        <f t="shared" si="17"/>
        <v/>
      </c>
      <c r="E1697" s="35" t="str">
        <f t="shared" si="18"/>
        <v/>
      </c>
      <c r="F1697" s="35" t="str">
        <f t="shared" si="19"/>
        <v/>
      </c>
      <c r="G1697" s="35" t="str">
        <f t="shared" si="20"/>
        <v/>
      </c>
      <c r="H1697" s="49"/>
      <c r="I1697" s="47" t="str">
        <f t="shared" si="21"/>
        <v/>
      </c>
      <c r="J1697" s="50"/>
      <c r="K1697" s="45" t="b">
        <v>0</v>
      </c>
      <c r="L1697" s="45"/>
      <c r="M1697" s="45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  <c r="AC1697" s="26"/>
      <c r="AD1697" s="26"/>
      <c r="AE1697" s="26"/>
      <c r="AF1697" s="26"/>
      <c r="AG1697" s="26"/>
      <c r="AH1697" s="26"/>
      <c r="AI1697" s="26"/>
      <c r="AJ1697" s="26"/>
      <c r="AK1697" s="2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46"/>
      <c r="BM1697" s="46"/>
      <c r="BN1697" s="46"/>
      <c r="BO1697" s="46"/>
    </row>
    <row r="1698">
      <c r="A1698" s="16" t="str">
        <f t="shared" si="14"/>
        <v/>
      </c>
      <c r="B1698" s="16" t="str">
        <f t="shared" si="15"/>
        <v/>
      </c>
      <c r="C1698" s="35" t="str">
        <f t="shared" si="16"/>
        <v/>
      </c>
      <c r="D1698" s="35" t="str">
        <f t="shared" si="17"/>
        <v/>
      </c>
      <c r="E1698" s="35" t="str">
        <f t="shared" si="18"/>
        <v/>
      </c>
      <c r="F1698" s="35" t="str">
        <f t="shared" si="19"/>
        <v/>
      </c>
      <c r="G1698" s="35" t="str">
        <f t="shared" si="20"/>
        <v/>
      </c>
      <c r="H1698" s="49"/>
      <c r="I1698" s="47" t="str">
        <f t="shared" si="21"/>
        <v/>
      </c>
      <c r="J1698" s="50"/>
      <c r="K1698" s="45" t="b">
        <v>0</v>
      </c>
      <c r="L1698" s="45"/>
      <c r="M1698" s="45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  <c r="AC1698" s="26"/>
      <c r="AD1698" s="26"/>
      <c r="AE1698" s="26"/>
      <c r="AF1698" s="26"/>
      <c r="AG1698" s="26"/>
      <c r="AH1698" s="26"/>
      <c r="AI1698" s="26"/>
      <c r="AJ1698" s="26"/>
      <c r="AK1698" s="2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46"/>
      <c r="BM1698" s="46"/>
      <c r="BN1698" s="46"/>
      <c r="BO1698" s="46"/>
    </row>
    <row r="1699">
      <c r="A1699" s="16" t="str">
        <f t="shared" si="14"/>
        <v/>
      </c>
      <c r="B1699" s="16" t="str">
        <f t="shared" si="15"/>
        <v/>
      </c>
      <c r="C1699" s="35" t="str">
        <f t="shared" si="16"/>
        <v/>
      </c>
      <c r="D1699" s="35" t="str">
        <f t="shared" si="17"/>
        <v/>
      </c>
      <c r="E1699" s="35" t="str">
        <f t="shared" si="18"/>
        <v/>
      </c>
      <c r="F1699" s="35" t="str">
        <f t="shared" si="19"/>
        <v/>
      </c>
      <c r="G1699" s="35" t="str">
        <f t="shared" si="20"/>
        <v/>
      </c>
      <c r="H1699" s="49"/>
      <c r="I1699" s="47" t="str">
        <f t="shared" si="21"/>
        <v/>
      </c>
      <c r="J1699" s="50"/>
      <c r="K1699" s="45" t="b">
        <v>0</v>
      </c>
      <c r="L1699" s="45"/>
      <c r="M1699" s="45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  <c r="AC1699" s="26"/>
      <c r="AD1699" s="26"/>
      <c r="AE1699" s="26"/>
      <c r="AF1699" s="26"/>
      <c r="AG1699" s="26"/>
      <c r="AH1699" s="26"/>
      <c r="AI1699" s="26"/>
      <c r="AJ1699" s="26"/>
      <c r="AK1699" s="2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46"/>
      <c r="BM1699" s="46"/>
      <c r="BN1699" s="46"/>
      <c r="BO1699" s="46"/>
    </row>
    <row r="1700">
      <c r="A1700" s="16" t="str">
        <f t="shared" si="14"/>
        <v/>
      </c>
      <c r="B1700" s="16" t="str">
        <f t="shared" si="15"/>
        <v/>
      </c>
      <c r="C1700" s="35" t="str">
        <f t="shared" si="16"/>
        <v/>
      </c>
      <c r="D1700" s="35" t="str">
        <f t="shared" si="17"/>
        <v/>
      </c>
      <c r="E1700" s="35" t="str">
        <f t="shared" si="18"/>
        <v/>
      </c>
      <c r="F1700" s="35" t="str">
        <f t="shared" si="19"/>
        <v/>
      </c>
      <c r="G1700" s="35" t="str">
        <f t="shared" si="20"/>
        <v/>
      </c>
      <c r="H1700" s="49"/>
      <c r="I1700" s="47" t="str">
        <f t="shared" si="21"/>
        <v/>
      </c>
      <c r="J1700" s="50"/>
      <c r="K1700" s="45" t="b">
        <v>0</v>
      </c>
      <c r="L1700" s="45"/>
      <c r="M1700" s="45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  <c r="AB1700" s="26"/>
      <c r="AC1700" s="26"/>
      <c r="AD1700" s="26"/>
      <c r="AE1700" s="26"/>
      <c r="AF1700" s="26"/>
      <c r="AG1700" s="26"/>
      <c r="AH1700" s="26"/>
      <c r="AI1700" s="26"/>
      <c r="AJ1700" s="26"/>
      <c r="AK1700" s="2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46"/>
      <c r="BM1700" s="46"/>
      <c r="BN1700" s="46"/>
      <c r="BO1700" s="46"/>
    </row>
    <row r="1701">
      <c r="A1701" s="16" t="str">
        <f t="shared" si="14"/>
        <v/>
      </c>
      <c r="B1701" s="16" t="str">
        <f t="shared" si="15"/>
        <v/>
      </c>
      <c r="C1701" s="35" t="str">
        <f t="shared" si="16"/>
        <v/>
      </c>
      <c r="D1701" s="35" t="str">
        <f t="shared" si="17"/>
        <v/>
      </c>
      <c r="E1701" s="35" t="str">
        <f t="shared" si="18"/>
        <v/>
      </c>
      <c r="F1701" s="35" t="str">
        <f t="shared" si="19"/>
        <v/>
      </c>
      <c r="G1701" s="35" t="str">
        <f t="shared" si="20"/>
        <v/>
      </c>
      <c r="H1701" s="49"/>
      <c r="I1701" s="47" t="str">
        <f t="shared" si="21"/>
        <v/>
      </c>
      <c r="J1701" s="50"/>
      <c r="K1701" s="45" t="b">
        <v>0</v>
      </c>
      <c r="L1701" s="45"/>
      <c r="M1701" s="45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  <c r="AB1701" s="26"/>
      <c r="AC1701" s="26"/>
      <c r="AD1701" s="26"/>
      <c r="AE1701" s="26"/>
      <c r="AF1701" s="26"/>
      <c r="AG1701" s="26"/>
      <c r="AH1701" s="26"/>
      <c r="AI1701" s="26"/>
      <c r="AJ1701" s="26"/>
      <c r="AK1701" s="2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46"/>
      <c r="BM1701" s="46"/>
      <c r="BN1701" s="46"/>
      <c r="BO1701" s="46"/>
    </row>
    <row r="1702">
      <c r="A1702" s="16" t="str">
        <f t="shared" si="14"/>
        <v/>
      </c>
      <c r="B1702" s="16" t="str">
        <f t="shared" si="15"/>
        <v/>
      </c>
      <c r="C1702" s="35" t="str">
        <f t="shared" si="16"/>
        <v/>
      </c>
      <c r="D1702" s="35" t="str">
        <f t="shared" si="17"/>
        <v/>
      </c>
      <c r="E1702" s="35" t="str">
        <f t="shared" si="18"/>
        <v/>
      </c>
      <c r="F1702" s="35" t="str">
        <f t="shared" si="19"/>
        <v/>
      </c>
      <c r="G1702" s="35" t="str">
        <f t="shared" si="20"/>
        <v/>
      </c>
      <c r="H1702" s="49"/>
      <c r="I1702" s="47" t="str">
        <f t="shared" si="21"/>
        <v/>
      </c>
      <c r="J1702" s="50"/>
      <c r="K1702" s="45" t="b">
        <v>0</v>
      </c>
      <c r="L1702" s="45"/>
      <c r="M1702" s="45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  <c r="AB1702" s="26"/>
      <c r="AC1702" s="26"/>
      <c r="AD1702" s="26"/>
      <c r="AE1702" s="26"/>
      <c r="AF1702" s="26"/>
      <c r="AG1702" s="26"/>
      <c r="AH1702" s="26"/>
      <c r="AI1702" s="26"/>
      <c r="AJ1702" s="26"/>
      <c r="AK1702" s="2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/>
    </row>
    <row r="1703">
      <c r="A1703" s="16" t="str">
        <f t="shared" si="14"/>
        <v/>
      </c>
      <c r="B1703" s="16" t="str">
        <f t="shared" si="15"/>
        <v/>
      </c>
      <c r="C1703" s="35" t="str">
        <f t="shared" si="16"/>
        <v/>
      </c>
      <c r="D1703" s="35" t="str">
        <f t="shared" si="17"/>
        <v/>
      </c>
      <c r="E1703" s="35" t="str">
        <f t="shared" si="18"/>
        <v/>
      </c>
      <c r="F1703" s="35" t="str">
        <f t="shared" si="19"/>
        <v/>
      </c>
      <c r="G1703" s="35" t="str">
        <f t="shared" si="20"/>
        <v/>
      </c>
      <c r="H1703" s="49"/>
      <c r="I1703" s="47" t="str">
        <f t="shared" si="21"/>
        <v/>
      </c>
      <c r="J1703" s="50"/>
      <c r="K1703" s="45" t="b">
        <v>0</v>
      </c>
      <c r="L1703" s="45"/>
      <c r="M1703" s="45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  <c r="AC1703" s="26"/>
      <c r="AD1703" s="26"/>
      <c r="AE1703" s="26"/>
      <c r="AF1703" s="26"/>
      <c r="AG1703" s="26"/>
      <c r="AH1703" s="26"/>
      <c r="AI1703" s="26"/>
      <c r="AJ1703" s="26"/>
      <c r="AK1703" s="2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46"/>
      <c r="BM1703" s="46"/>
      <c r="BN1703" s="46"/>
      <c r="BO1703" s="46"/>
    </row>
    <row r="1704">
      <c r="A1704" s="16" t="str">
        <f t="shared" si="14"/>
        <v/>
      </c>
      <c r="B1704" s="16" t="str">
        <f t="shared" si="15"/>
        <v/>
      </c>
      <c r="C1704" s="35" t="str">
        <f t="shared" si="16"/>
        <v/>
      </c>
      <c r="D1704" s="35" t="str">
        <f t="shared" si="17"/>
        <v/>
      </c>
      <c r="E1704" s="35" t="str">
        <f t="shared" si="18"/>
        <v/>
      </c>
      <c r="F1704" s="35" t="str">
        <f t="shared" si="19"/>
        <v/>
      </c>
      <c r="G1704" s="35" t="str">
        <f t="shared" si="20"/>
        <v/>
      </c>
      <c r="H1704" s="49"/>
      <c r="I1704" s="47" t="str">
        <f t="shared" si="21"/>
        <v/>
      </c>
      <c r="J1704" s="50"/>
      <c r="K1704" s="45" t="b">
        <v>0</v>
      </c>
      <c r="L1704" s="45"/>
      <c r="M1704" s="45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  <c r="AC1704" s="26"/>
      <c r="AD1704" s="26"/>
      <c r="AE1704" s="26"/>
      <c r="AF1704" s="26"/>
      <c r="AG1704" s="26"/>
      <c r="AH1704" s="26"/>
      <c r="AI1704" s="26"/>
      <c r="AJ1704" s="26"/>
      <c r="AK1704" s="2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46"/>
      <c r="BM1704" s="46"/>
      <c r="BN1704" s="46"/>
      <c r="BO1704" s="46"/>
    </row>
    <row r="1705">
      <c r="A1705" s="16" t="str">
        <f t="shared" si="14"/>
        <v/>
      </c>
      <c r="B1705" s="16" t="str">
        <f t="shared" si="15"/>
        <v/>
      </c>
      <c r="C1705" s="35" t="str">
        <f t="shared" si="16"/>
        <v/>
      </c>
      <c r="D1705" s="35" t="str">
        <f t="shared" si="17"/>
        <v/>
      </c>
      <c r="E1705" s="35" t="str">
        <f t="shared" si="18"/>
        <v/>
      </c>
      <c r="F1705" s="35" t="str">
        <f t="shared" si="19"/>
        <v/>
      </c>
      <c r="G1705" s="35" t="str">
        <f t="shared" si="20"/>
        <v/>
      </c>
      <c r="H1705" s="49"/>
      <c r="I1705" s="47" t="str">
        <f t="shared" si="21"/>
        <v/>
      </c>
      <c r="J1705" s="50"/>
      <c r="K1705" s="45" t="b">
        <v>0</v>
      </c>
      <c r="L1705" s="45"/>
      <c r="M1705" s="45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  <c r="AB1705" s="26"/>
      <c r="AC1705" s="26"/>
      <c r="AD1705" s="26"/>
      <c r="AE1705" s="26"/>
      <c r="AF1705" s="26"/>
      <c r="AG1705" s="26"/>
      <c r="AH1705" s="26"/>
      <c r="AI1705" s="26"/>
      <c r="AJ1705" s="26"/>
      <c r="AK1705" s="2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46"/>
      <c r="BM1705" s="46"/>
      <c r="BN1705" s="46"/>
      <c r="BO1705" s="46"/>
    </row>
    <row r="1706">
      <c r="A1706" s="16" t="str">
        <f t="shared" si="14"/>
        <v/>
      </c>
      <c r="B1706" s="16" t="str">
        <f t="shared" si="15"/>
        <v/>
      </c>
      <c r="C1706" s="35" t="str">
        <f t="shared" si="16"/>
        <v/>
      </c>
      <c r="D1706" s="35" t="str">
        <f t="shared" si="17"/>
        <v/>
      </c>
      <c r="E1706" s="35" t="str">
        <f t="shared" si="18"/>
        <v/>
      </c>
      <c r="F1706" s="35" t="str">
        <f t="shared" si="19"/>
        <v/>
      </c>
      <c r="G1706" s="35" t="str">
        <f t="shared" si="20"/>
        <v/>
      </c>
      <c r="H1706" s="49"/>
      <c r="I1706" s="47" t="str">
        <f t="shared" si="21"/>
        <v/>
      </c>
      <c r="J1706" s="50"/>
      <c r="K1706" s="45" t="b">
        <v>0</v>
      </c>
      <c r="L1706" s="45"/>
      <c r="M1706" s="45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  <c r="AB1706" s="26"/>
      <c r="AC1706" s="26"/>
      <c r="AD1706" s="26"/>
      <c r="AE1706" s="26"/>
      <c r="AF1706" s="26"/>
      <c r="AG1706" s="26"/>
      <c r="AH1706" s="26"/>
      <c r="AI1706" s="26"/>
      <c r="AJ1706" s="26"/>
      <c r="AK1706" s="2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46"/>
      <c r="BM1706" s="46"/>
      <c r="BN1706" s="46"/>
      <c r="BO1706" s="46"/>
    </row>
    <row r="1707">
      <c r="A1707" s="16" t="str">
        <f t="shared" si="14"/>
        <v/>
      </c>
      <c r="B1707" s="16" t="str">
        <f t="shared" si="15"/>
        <v/>
      </c>
      <c r="C1707" s="35" t="str">
        <f t="shared" si="16"/>
        <v/>
      </c>
      <c r="D1707" s="35" t="str">
        <f t="shared" si="17"/>
        <v/>
      </c>
      <c r="E1707" s="35" t="str">
        <f t="shared" si="18"/>
        <v/>
      </c>
      <c r="F1707" s="35" t="str">
        <f t="shared" si="19"/>
        <v/>
      </c>
      <c r="G1707" s="35" t="str">
        <f t="shared" si="20"/>
        <v/>
      </c>
      <c r="H1707" s="49"/>
      <c r="I1707" s="47" t="str">
        <f t="shared" si="21"/>
        <v/>
      </c>
      <c r="J1707" s="50"/>
      <c r="K1707" s="45" t="b">
        <v>0</v>
      </c>
      <c r="L1707" s="45"/>
      <c r="M1707" s="45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  <c r="AC1707" s="26"/>
      <c r="AD1707" s="26"/>
      <c r="AE1707" s="26"/>
      <c r="AF1707" s="26"/>
      <c r="AG1707" s="26"/>
      <c r="AH1707" s="26"/>
      <c r="AI1707" s="26"/>
      <c r="AJ1707" s="26"/>
      <c r="AK1707" s="2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46"/>
      <c r="BM1707" s="46"/>
      <c r="BN1707" s="46"/>
      <c r="BO1707" s="46"/>
    </row>
    <row r="1708">
      <c r="A1708" s="16" t="str">
        <f t="shared" si="14"/>
        <v/>
      </c>
      <c r="B1708" s="16" t="str">
        <f t="shared" si="15"/>
        <v/>
      </c>
      <c r="C1708" s="35" t="str">
        <f t="shared" si="16"/>
        <v/>
      </c>
      <c r="D1708" s="35" t="str">
        <f t="shared" si="17"/>
        <v/>
      </c>
      <c r="E1708" s="35" t="str">
        <f t="shared" si="18"/>
        <v/>
      </c>
      <c r="F1708" s="35" t="str">
        <f t="shared" si="19"/>
        <v/>
      </c>
      <c r="G1708" s="35" t="str">
        <f t="shared" si="20"/>
        <v/>
      </c>
      <c r="H1708" s="49"/>
      <c r="I1708" s="47" t="str">
        <f t="shared" si="21"/>
        <v/>
      </c>
      <c r="J1708" s="50"/>
      <c r="K1708" s="45" t="b">
        <v>0</v>
      </c>
      <c r="L1708" s="45"/>
      <c r="M1708" s="45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  <c r="AB1708" s="26"/>
      <c r="AC1708" s="26"/>
      <c r="AD1708" s="26"/>
      <c r="AE1708" s="26"/>
      <c r="AF1708" s="26"/>
      <c r="AG1708" s="26"/>
      <c r="AH1708" s="26"/>
      <c r="AI1708" s="26"/>
      <c r="AJ1708" s="26"/>
      <c r="AK1708" s="2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46"/>
      <c r="BM1708" s="46"/>
      <c r="BN1708" s="46"/>
      <c r="BO1708" s="46"/>
    </row>
    <row r="1709">
      <c r="A1709" s="16" t="str">
        <f t="shared" si="14"/>
        <v/>
      </c>
      <c r="B1709" s="16" t="str">
        <f t="shared" si="15"/>
        <v/>
      </c>
      <c r="C1709" s="35" t="str">
        <f t="shared" si="16"/>
        <v/>
      </c>
      <c r="D1709" s="35" t="str">
        <f t="shared" si="17"/>
        <v/>
      </c>
      <c r="E1709" s="35" t="str">
        <f t="shared" si="18"/>
        <v/>
      </c>
      <c r="F1709" s="35" t="str">
        <f t="shared" si="19"/>
        <v/>
      </c>
      <c r="G1709" s="35" t="str">
        <f t="shared" si="20"/>
        <v/>
      </c>
      <c r="H1709" s="49"/>
      <c r="I1709" s="47" t="str">
        <f t="shared" si="21"/>
        <v/>
      </c>
      <c r="J1709" s="50"/>
      <c r="K1709" s="45" t="b">
        <v>0</v>
      </c>
      <c r="L1709" s="45"/>
      <c r="M1709" s="45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  <c r="AC1709" s="26"/>
      <c r="AD1709" s="26"/>
      <c r="AE1709" s="26"/>
      <c r="AF1709" s="26"/>
      <c r="AG1709" s="26"/>
      <c r="AH1709" s="26"/>
      <c r="AI1709" s="26"/>
      <c r="AJ1709" s="26"/>
      <c r="AK1709" s="2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46"/>
      <c r="BM1709" s="46"/>
      <c r="BN1709" s="46"/>
      <c r="BO1709" s="46"/>
    </row>
    <row r="1710">
      <c r="A1710" s="16" t="str">
        <f t="shared" si="14"/>
        <v/>
      </c>
      <c r="B1710" s="16" t="str">
        <f t="shared" si="15"/>
        <v/>
      </c>
      <c r="C1710" s="35" t="str">
        <f t="shared" si="16"/>
        <v/>
      </c>
      <c r="D1710" s="35" t="str">
        <f t="shared" si="17"/>
        <v/>
      </c>
      <c r="E1710" s="35" t="str">
        <f t="shared" si="18"/>
        <v/>
      </c>
      <c r="F1710" s="35" t="str">
        <f t="shared" si="19"/>
        <v/>
      </c>
      <c r="G1710" s="35" t="str">
        <f t="shared" si="20"/>
        <v/>
      </c>
      <c r="H1710" s="49"/>
      <c r="I1710" s="47" t="str">
        <f t="shared" si="21"/>
        <v/>
      </c>
      <c r="J1710" s="50"/>
      <c r="K1710" s="45" t="b">
        <v>0</v>
      </c>
      <c r="L1710" s="45"/>
      <c r="M1710" s="45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  <c r="AC1710" s="26"/>
      <c r="AD1710" s="26"/>
      <c r="AE1710" s="26"/>
      <c r="AF1710" s="26"/>
      <c r="AG1710" s="26"/>
      <c r="AH1710" s="26"/>
      <c r="AI1710" s="26"/>
      <c r="AJ1710" s="26"/>
      <c r="AK1710" s="2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46"/>
      <c r="BM1710" s="46"/>
      <c r="BN1710" s="46"/>
      <c r="BO1710" s="46"/>
    </row>
    <row r="1711">
      <c r="A1711" s="16" t="str">
        <f t="shared" si="14"/>
        <v/>
      </c>
      <c r="B1711" s="16" t="str">
        <f t="shared" si="15"/>
        <v/>
      </c>
      <c r="C1711" s="35" t="str">
        <f t="shared" si="16"/>
        <v/>
      </c>
      <c r="D1711" s="35" t="str">
        <f t="shared" si="17"/>
        <v/>
      </c>
      <c r="E1711" s="35" t="str">
        <f t="shared" si="18"/>
        <v/>
      </c>
      <c r="F1711" s="35" t="str">
        <f t="shared" si="19"/>
        <v/>
      </c>
      <c r="G1711" s="35" t="str">
        <f t="shared" si="20"/>
        <v/>
      </c>
      <c r="H1711" s="49"/>
      <c r="I1711" s="47" t="str">
        <f t="shared" si="21"/>
        <v/>
      </c>
      <c r="J1711" s="50"/>
      <c r="K1711" s="45" t="b">
        <v>0</v>
      </c>
      <c r="L1711" s="45"/>
      <c r="M1711" s="45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  <c r="AC1711" s="26"/>
      <c r="AD1711" s="26"/>
      <c r="AE1711" s="26"/>
      <c r="AF1711" s="26"/>
      <c r="AG1711" s="26"/>
      <c r="AH1711" s="26"/>
      <c r="AI1711" s="26"/>
      <c r="AJ1711" s="26"/>
      <c r="AK1711" s="2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46"/>
      <c r="BM1711" s="46"/>
      <c r="BN1711" s="46"/>
      <c r="BO1711" s="46"/>
    </row>
    <row r="1712">
      <c r="A1712" s="16" t="str">
        <f t="shared" si="14"/>
        <v/>
      </c>
      <c r="B1712" s="16" t="str">
        <f t="shared" si="15"/>
        <v/>
      </c>
      <c r="C1712" s="35" t="str">
        <f t="shared" si="16"/>
        <v/>
      </c>
      <c r="D1712" s="35" t="str">
        <f t="shared" si="17"/>
        <v/>
      </c>
      <c r="E1712" s="35" t="str">
        <f t="shared" si="18"/>
        <v/>
      </c>
      <c r="F1712" s="35" t="str">
        <f t="shared" si="19"/>
        <v/>
      </c>
      <c r="G1712" s="35" t="str">
        <f t="shared" si="20"/>
        <v/>
      </c>
      <c r="H1712" s="49"/>
      <c r="I1712" s="47" t="str">
        <f t="shared" si="21"/>
        <v/>
      </c>
      <c r="J1712" s="50"/>
      <c r="K1712" s="45" t="b">
        <v>0</v>
      </c>
      <c r="L1712" s="45"/>
      <c r="M1712" s="45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  <c r="AC1712" s="26"/>
      <c r="AD1712" s="26"/>
      <c r="AE1712" s="26"/>
      <c r="AF1712" s="26"/>
      <c r="AG1712" s="26"/>
      <c r="AH1712" s="26"/>
      <c r="AI1712" s="26"/>
      <c r="AJ1712" s="26"/>
      <c r="AK1712" s="2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46"/>
      <c r="BM1712" s="46"/>
      <c r="BN1712" s="46"/>
      <c r="BO1712" s="46"/>
    </row>
    <row r="1713">
      <c r="A1713" s="16" t="str">
        <f t="shared" si="14"/>
        <v/>
      </c>
      <c r="B1713" s="16" t="str">
        <f t="shared" si="15"/>
        <v/>
      </c>
      <c r="C1713" s="35" t="str">
        <f t="shared" si="16"/>
        <v/>
      </c>
      <c r="D1713" s="35" t="str">
        <f t="shared" si="17"/>
        <v/>
      </c>
      <c r="E1713" s="35" t="str">
        <f t="shared" si="18"/>
        <v/>
      </c>
      <c r="F1713" s="35" t="str">
        <f t="shared" si="19"/>
        <v/>
      </c>
      <c r="G1713" s="35" t="str">
        <f t="shared" si="20"/>
        <v/>
      </c>
      <c r="H1713" s="49"/>
      <c r="I1713" s="47" t="str">
        <f t="shared" si="21"/>
        <v/>
      </c>
      <c r="J1713" s="50"/>
      <c r="K1713" s="45" t="b">
        <v>0</v>
      </c>
      <c r="L1713" s="45"/>
      <c r="M1713" s="45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  <c r="AC1713" s="26"/>
      <c r="AD1713" s="26"/>
      <c r="AE1713" s="26"/>
      <c r="AF1713" s="26"/>
      <c r="AG1713" s="26"/>
      <c r="AH1713" s="26"/>
      <c r="AI1713" s="26"/>
      <c r="AJ1713" s="26"/>
      <c r="AK1713" s="2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46"/>
      <c r="BM1713" s="46"/>
      <c r="BN1713" s="46"/>
      <c r="BO1713" s="46"/>
    </row>
    <row r="1714">
      <c r="A1714" s="16" t="str">
        <f t="shared" si="14"/>
        <v/>
      </c>
      <c r="B1714" s="16" t="str">
        <f t="shared" si="15"/>
        <v/>
      </c>
      <c r="C1714" s="35" t="str">
        <f t="shared" si="16"/>
        <v/>
      </c>
      <c r="D1714" s="35" t="str">
        <f t="shared" si="17"/>
        <v/>
      </c>
      <c r="E1714" s="35" t="str">
        <f t="shared" si="18"/>
        <v/>
      </c>
      <c r="F1714" s="35" t="str">
        <f t="shared" si="19"/>
        <v/>
      </c>
      <c r="G1714" s="35" t="str">
        <f t="shared" si="20"/>
        <v/>
      </c>
      <c r="H1714" s="49"/>
      <c r="I1714" s="47" t="str">
        <f t="shared" si="21"/>
        <v/>
      </c>
      <c r="J1714" s="50"/>
      <c r="K1714" s="45" t="b">
        <v>0</v>
      </c>
      <c r="L1714" s="45"/>
      <c r="M1714" s="45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  <c r="AC1714" s="26"/>
      <c r="AD1714" s="26"/>
      <c r="AE1714" s="26"/>
      <c r="AF1714" s="26"/>
      <c r="AG1714" s="26"/>
      <c r="AH1714" s="26"/>
      <c r="AI1714" s="26"/>
      <c r="AJ1714" s="26"/>
      <c r="AK1714" s="2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46"/>
      <c r="BM1714" s="46"/>
      <c r="BN1714" s="46"/>
      <c r="BO1714" s="46"/>
    </row>
    <row r="1715">
      <c r="A1715" s="16" t="str">
        <f t="shared" si="14"/>
        <v/>
      </c>
      <c r="B1715" s="16" t="str">
        <f t="shared" si="15"/>
        <v/>
      </c>
      <c r="C1715" s="35" t="str">
        <f t="shared" si="16"/>
        <v/>
      </c>
      <c r="D1715" s="35" t="str">
        <f t="shared" si="17"/>
        <v/>
      </c>
      <c r="E1715" s="35" t="str">
        <f t="shared" si="18"/>
        <v/>
      </c>
      <c r="F1715" s="35" t="str">
        <f t="shared" si="19"/>
        <v/>
      </c>
      <c r="G1715" s="35" t="str">
        <f t="shared" si="20"/>
        <v/>
      </c>
      <c r="H1715" s="49"/>
      <c r="I1715" s="47" t="str">
        <f t="shared" si="21"/>
        <v/>
      </c>
      <c r="J1715" s="50"/>
      <c r="K1715" s="45" t="b">
        <v>0</v>
      </c>
      <c r="L1715" s="45"/>
      <c r="M1715" s="45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  <c r="AC1715" s="26"/>
      <c r="AD1715" s="26"/>
      <c r="AE1715" s="26"/>
      <c r="AF1715" s="26"/>
      <c r="AG1715" s="26"/>
      <c r="AH1715" s="26"/>
      <c r="AI1715" s="26"/>
      <c r="AJ1715" s="26"/>
      <c r="AK1715" s="2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46"/>
      <c r="BM1715" s="46"/>
      <c r="BN1715" s="46"/>
      <c r="BO1715" s="46"/>
    </row>
    <row r="1716">
      <c r="A1716" s="16" t="str">
        <f t="shared" si="14"/>
        <v/>
      </c>
      <c r="B1716" s="16" t="str">
        <f t="shared" si="15"/>
        <v/>
      </c>
      <c r="C1716" s="35" t="str">
        <f t="shared" si="16"/>
        <v/>
      </c>
      <c r="D1716" s="35" t="str">
        <f t="shared" si="17"/>
        <v/>
      </c>
      <c r="E1716" s="35" t="str">
        <f t="shared" si="18"/>
        <v/>
      </c>
      <c r="F1716" s="35" t="str">
        <f t="shared" si="19"/>
        <v/>
      </c>
      <c r="G1716" s="35" t="str">
        <f t="shared" si="20"/>
        <v/>
      </c>
      <c r="H1716" s="49"/>
      <c r="I1716" s="47" t="str">
        <f t="shared" si="21"/>
        <v/>
      </c>
      <c r="J1716" s="50"/>
      <c r="K1716" s="45" t="b">
        <v>0</v>
      </c>
      <c r="L1716" s="45"/>
      <c r="M1716" s="45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  <c r="AC1716" s="26"/>
      <c r="AD1716" s="26"/>
      <c r="AE1716" s="26"/>
      <c r="AF1716" s="26"/>
      <c r="AG1716" s="26"/>
      <c r="AH1716" s="26"/>
      <c r="AI1716" s="26"/>
      <c r="AJ1716" s="26"/>
      <c r="AK1716" s="2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46"/>
      <c r="BM1716" s="46"/>
      <c r="BN1716" s="46"/>
      <c r="BO1716" s="46"/>
    </row>
    <row r="1717">
      <c r="A1717" s="16" t="str">
        <f t="shared" si="14"/>
        <v/>
      </c>
      <c r="B1717" s="16" t="str">
        <f t="shared" si="15"/>
        <v/>
      </c>
      <c r="C1717" s="35" t="str">
        <f t="shared" si="16"/>
        <v/>
      </c>
      <c r="D1717" s="35" t="str">
        <f t="shared" si="17"/>
        <v/>
      </c>
      <c r="E1717" s="35" t="str">
        <f t="shared" si="18"/>
        <v/>
      </c>
      <c r="F1717" s="35" t="str">
        <f t="shared" si="19"/>
        <v/>
      </c>
      <c r="G1717" s="35" t="str">
        <f t="shared" si="20"/>
        <v/>
      </c>
      <c r="H1717" s="49"/>
      <c r="I1717" s="47" t="str">
        <f t="shared" si="21"/>
        <v/>
      </c>
      <c r="J1717" s="50"/>
      <c r="K1717" s="45" t="b">
        <v>0</v>
      </c>
      <c r="L1717" s="45"/>
      <c r="M1717" s="45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  <c r="AB1717" s="26"/>
      <c r="AC1717" s="26"/>
      <c r="AD1717" s="26"/>
      <c r="AE1717" s="26"/>
      <c r="AF1717" s="26"/>
      <c r="AG1717" s="26"/>
      <c r="AH1717" s="26"/>
      <c r="AI1717" s="26"/>
      <c r="AJ1717" s="26"/>
      <c r="AK1717" s="2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46"/>
      <c r="BM1717" s="46"/>
      <c r="BN1717" s="46"/>
      <c r="BO1717" s="46"/>
    </row>
    <row r="1718">
      <c r="A1718" s="16" t="str">
        <f t="shared" si="14"/>
        <v/>
      </c>
      <c r="B1718" s="16" t="str">
        <f t="shared" si="15"/>
        <v/>
      </c>
      <c r="C1718" s="35" t="str">
        <f t="shared" si="16"/>
        <v/>
      </c>
      <c r="D1718" s="35" t="str">
        <f t="shared" si="17"/>
        <v/>
      </c>
      <c r="E1718" s="35" t="str">
        <f t="shared" si="18"/>
        <v/>
      </c>
      <c r="F1718" s="35" t="str">
        <f t="shared" si="19"/>
        <v/>
      </c>
      <c r="G1718" s="35" t="str">
        <f t="shared" si="20"/>
        <v/>
      </c>
      <c r="H1718" s="49"/>
      <c r="I1718" s="47" t="str">
        <f t="shared" si="21"/>
        <v/>
      </c>
      <c r="J1718" s="50"/>
      <c r="K1718" s="45" t="b">
        <v>0</v>
      </c>
      <c r="L1718" s="45"/>
      <c r="M1718" s="45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  <c r="AB1718" s="26"/>
      <c r="AC1718" s="26"/>
      <c r="AD1718" s="26"/>
      <c r="AE1718" s="26"/>
      <c r="AF1718" s="26"/>
      <c r="AG1718" s="26"/>
      <c r="AH1718" s="26"/>
      <c r="AI1718" s="26"/>
      <c r="AJ1718" s="26"/>
      <c r="AK1718" s="2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46"/>
      <c r="BM1718" s="46"/>
      <c r="BN1718" s="46"/>
      <c r="BO1718" s="46"/>
    </row>
    <row r="1719">
      <c r="A1719" s="16" t="str">
        <f t="shared" si="14"/>
        <v/>
      </c>
      <c r="B1719" s="16" t="str">
        <f t="shared" si="15"/>
        <v/>
      </c>
      <c r="C1719" s="35" t="str">
        <f t="shared" si="16"/>
        <v/>
      </c>
      <c r="D1719" s="35" t="str">
        <f t="shared" si="17"/>
        <v/>
      </c>
      <c r="E1719" s="35" t="str">
        <f t="shared" si="18"/>
        <v/>
      </c>
      <c r="F1719" s="35" t="str">
        <f t="shared" si="19"/>
        <v/>
      </c>
      <c r="G1719" s="35" t="str">
        <f t="shared" si="20"/>
        <v/>
      </c>
      <c r="H1719" s="49"/>
      <c r="I1719" s="47" t="str">
        <f t="shared" si="21"/>
        <v/>
      </c>
      <c r="J1719" s="50"/>
      <c r="K1719" s="45" t="b">
        <v>0</v>
      </c>
      <c r="L1719" s="45"/>
      <c r="M1719" s="45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  <c r="AC1719" s="26"/>
      <c r="AD1719" s="26"/>
      <c r="AE1719" s="26"/>
      <c r="AF1719" s="26"/>
      <c r="AG1719" s="26"/>
      <c r="AH1719" s="26"/>
      <c r="AI1719" s="26"/>
      <c r="AJ1719" s="26"/>
      <c r="AK1719" s="2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46"/>
      <c r="BM1719" s="46"/>
      <c r="BN1719" s="46"/>
      <c r="BO1719" s="46"/>
    </row>
    <row r="1720">
      <c r="A1720" s="16" t="str">
        <f t="shared" si="14"/>
        <v/>
      </c>
      <c r="B1720" s="16" t="str">
        <f t="shared" si="15"/>
        <v/>
      </c>
      <c r="C1720" s="35" t="str">
        <f t="shared" si="16"/>
        <v/>
      </c>
      <c r="D1720" s="35" t="str">
        <f t="shared" si="17"/>
        <v/>
      </c>
      <c r="E1720" s="35" t="str">
        <f t="shared" si="18"/>
        <v/>
      </c>
      <c r="F1720" s="35" t="str">
        <f t="shared" si="19"/>
        <v/>
      </c>
      <c r="G1720" s="35" t="str">
        <f t="shared" si="20"/>
        <v/>
      </c>
      <c r="H1720" s="49"/>
      <c r="I1720" s="47" t="str">
        <f t="shared" si="21"/>
        <v/>
      </c>
      <c r="J1720" s="50"/>
      <c r="K1720" s="45" t="b">
        <v>0</v>
      </c>
      <c r="L1720" s="45"/>
      <c r="M1720" s="45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  <c r="AB1720" s="26"/>
      <c r="AC1720" s="26"/>
      <c r="AD1720" s="26"/>
      <c r="AE1720" s="26"/>
      <c r="AF1720" s="26"/>
      <c r="AG1720" s="26"/>
      <c r="AH1720" s="26"/>
      <c r="AI1720" s="26"/>
      <c r="AJ1720" s="26"/>
      <c r="AK1720" s="2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46"/>
      <c r="BM1720" s="46"/>
      <c r="BN1720" s="46"/>
      <c r="BO1720" s="46"/>
    </row>
    <row r="1721">
      <c r="A1721" s="16" t="str">
        <f t="shared" si="14"/>
        <v/>
      </c>
      <c r="B1721" s="16" t="str">
        <f t="shared" si="15"/>
        <v/>
      </c>
      <c r="C1721" s="35" t="str">
        <f t="shared" si="16"/>
        <v/>
      </c>
      <c r="D1721" s="35" t="str">
        <f t="shared" si="17"/>
        <v/>
      </c>
      <c r="E1721" s="35" t="str">
        <f t="shared" si="18"/>
        <v/>
      </c>
      <c r="F1721" s="35" t="str">
        <f t="shared" si="19"/>
        <v/>
      </c>
      <c r="G1721" s="35" t="str">
        <f t="shared" si="20"/>
        <v/>
      </c>
      <c r="H1721" s="49"/>
      <c r="I1721" s="47" t="str">
        <f t="shared" si="21"/>
        <v/>
      </c>
      <c r="J1721" s="50"/>
      <c r="K1721" s="45" t="b">
        <v>0</v>
      </c>
      <c r="L1721" s="45"/>
      <c r="M1721" s="45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  <c r="AC1721" s="26"/>
      <c r="AD1721" s="26"/>
      <c r="AE1721" s="26"/>
      <c r="AF1721" s="26"/>
      <c r="AG1721" s="26"/>
      <c r="AH1721" s="26"/>
      <c r="AI1721" s="26"/>
      <c r="AJ1721" s="26"/>
      <c r="AK1721" s="2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46"/>
      <c r="BM1721" s="46"/>
      <c r="BN1721" s="46"/>
      <c r="BO1721" s="46"/>
    </row>
    <row r="1722">
      <c r="A1722" s="16" t="str">
        <f t="shared" si="14"/>
        <v/>
      </c>
      <c r="B1722" s="16" t="str">
        <f t="shared" si="15"/>
        <v/>
      </c>
      <c r="C1722" s="35" t="str">
        <f t="shared" si="16"/>
        <v/>
      </c>
      <c r="D1722" s="35" t="str">
        <f t="shared" si="17"/>
        <v/>
      </c>
      <c r="E1722" s="35" t="str">
        <f t="shared" si="18"/>
        <v/>
      </c>
      <c r="F1722" s="35" t="str">
        <f t="shared" si="19"/>
        <v/>
      </c>
      <c r="G1722" s="35" t="str">
        <f t="shared" si="20"/>
        <v/>
      </c>
      <c r="H1722" s="49"/>
      <c r="I1722" s="47" t="str">
        <f t="shared" si="21"/>
        <v/>
      </c>
      <c r="J1722" s="50"/>
      <c r="K1722" s="45" t="b">
        <v>0</v>
      </c>
      <c r="L1722" s="45"/>
      <c r="M1722" s="45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  <c r="AB1722" s="26"/>
      <c r="AC1722" s="26"/>
      <c r="AD1722" s="26"/>
      <c r="AE1722" s="26"/>
      <c r="AF1722" s="26"/>
      <c r="AG1722" s="26"/>
      <c r="AH1722" s="26"/>
      <c r="AI1722" s="26"/>
      <c r="AJ1722" s="26"/>
      <c r="AK1722" s="2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46"/>
      <c r="BM1722" s="46"/>
      <c r="BN1722" s="46"/>
      <c r="BO1722" s="46"/>
    </row>
    <row r="1723">
      <c r="A1723" s="16" t="str">
        <f t="shared" si="14"/>
        <v/>
      </c>
      <c r="B1723" s="16" t="str">
        <f t="shared" si="15"/>
        <v/>
      </c>
      <c r="C1723" s="35" t="str">
        <f t="shared" si="16"/>
        <v/>
      </c>
      <c r="D1723" s="35" t="str">
        <f t="shared" si="17"/>
        <v/>
      </c>
      <c r="E1723" s="35" t="str">
        <f t="shared" si="18"/>
        <v/>
      </c>
      <c r="F1723" s="35" t="str">
        <f t="shared" si="19"/>
        <v/>
      </c>
      <c r="G1723" s="35" t="str">
        <f t="shared" si="20"/>
        <v/>
      </c>
      <c r="H1723" s="49"/>
      <c r="I1723" s="47" t="str">
        <f t="shared" si="21"/>
        <v/>
      </c>
      <c r="J1723" s="50"/>
      <c r="K1723" s="45" t="b">
        <v>0</v>
      </c>
      <c r="L1723" s="45"/>
      <c r="M1723" s="45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  <c r="AB1723" s="26"/>
      <c r="AC1723" s="26"/>
      <c r="AD1723" s="26"/>
      <c r="AE1723" s="26"/>
      <c r="AF1723" s="26"/>
      <c r="AG1723" s="26"/>
      <c r="AH1723" s="26"/>
      <c r="AI1723" s="26"/>
      <c r="AJ1723" s="26"/>
      <c r="AK1723" s="2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46"/>
      <c r="BM1723" s="46"/>
      <c r="BN1723" s="46"/>
      <c r="BO1723" s="46"/>
    </row>
    <row r="1724">
      <c r="A1724" s="16" t="str">
        <f t="shared" si="14"/>
        <v/>
      </c>
      <c r="B1724" s="16" t="str">
        <f t="shared" si="15"/>
        <v/>
      </c>
      <c r="C1724" s="35" t="str">
        <f t="shared" si="16"/>
        <v/>
      </c>
      <c r="D1724" s="35" t="str">
        <f t="shared" si="17"/>
        <v/>
      </c>
      <c r="E1724" s="35" t="str">
        <f t="shared" si="18"/>
        <v/>
      </c>
      <c r="F1724" s="35" t="str">
        <f t="shared" si="19"/>
        <v/>
      </c>
      <c r="G1724" s="35" t="str">
        <f t="shared" si="20"/>
        <v/>
      </c>
      <c r="H1724" s="49"/>
      <c r="I1724" s="47" t="str">
        <f t="shared" si="21"/>
        <v/>
      </c>
      <c r="J1724" s="50"/>
      <c r="K1724" s="45" t="b">
        <v>0</v>
      </c>
      <c r="L1724" s="45"/>
      <c r="M1724" s="45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  <c r="AB1724" s="26"/>
      <c r="AC1724" s="26"/>
      <c r="AD1724" s="26"/>
      <c r="AE1724" s="26"/>
      <c r="AF1724" s="26"/>
      <c r="AG1724" s="26"/>
      <c r="AH1724" s="26"/>
      <c r="AI1724" s="26"/>
      <c r="AJ1724" s="26"/>
      <c r="AK1724" s="2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46"/>
      <c r="BM1724" s="46"/>
      <c r="BN1724" s="46"/>
      <c r="BO1724" s="46"/>
    </row>
    <row r="1725">
      <c r="A1725" s="16" t="str">
        <f t="shared" si="14"/>
        <v/>
      </c>
      <c r="B1725" s="16" t="str">
        <f t="shared" si="15"/>
        <v/>
      </c>
      <c r="C1725" s="35" t="str">
        <f t="shared" si="16"/>
        <v/>
      </c>
      <c r="D1725" s="35" t="str">
        <f t="shared" si="17"/>
        <v/>
      </c>
      <c r="E1725" s="35" t="str">
        <f t="shared" si="18"/>
        <v/>
      </c>
      <c r="F1725" s="35" t="str">
        <f t="shared" si="19"/>
        <v/>
      </c>
      <c r="G1725" s="35" t="str">
        <f t="shared" si="20"/>
        <v/>
      </c>
      <c r="H1725" s="49"/>
      <c r="I1725" s="47" t="str">
        <f t="shared" si="21"/>
        <v/>
      </c>
      <c r="J1725" s="50"/>
      <c r="K1725" s="45" t="b">
        <v>0</v>
      </c>
      <c r="L1725" s="45"/>
      <c r="M1725" s="45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  <c r="AB1725" s="26"/>
      <c r="AC1725" s="26"/>
      <c r="AD1725" s="26"/>
      <c r="AE1725" s="26"/>
      <c r="AF1725" s="26"/>
      <c r="AG1725" s="26"/>
      <c r="AH1725" s="26"/>
      <c r="AI1725" s="26"/>
      <c r="AJ1725" s="26"/>
      <c r="AK1725" s="2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46"/>
      <c r="BM1725" s="46"/>
      <c r="BN1725" s="46"/>
      <c r="BO1725" s="46"/>
    </row>
    <row r="1726">
      <c r="A1726" s="16" t="str">
        <f t="shared" si="14"/>
        <v/>
      </c>
      <c r="B1726" s="16" t="str">
        <f t="shared" si="15"/>
        <v/>
      </c>
      <c r="C1726" s="35" t="str">
        <f t="shared" si="16"/>
        <v/>
      </c>
      <c r="D1726" s="35" t="str">
        <f t="shared" si="17"/>
        <v/>
      </c>
      <c r="E1726" s="35" t="str">
        <f t="shared" si="18"/>
        <v/>
      </c>
      <c r="F1726" s="35" t="str">
        <f t="shared" si="19"/>
        <v/>
      </c>
      <c r="G1726" s="35" t="str">
        <f t="shared" si="20"/>
        <v/>
      </c>
      <c r="H1726" s="49"/>
      <c r="I1726" s="47" t="str">
        <f t="shared" si="21"/>
        <v/>
      </c>
      <c r="J1726" s="50"/>
      <c r="K1726" s="45" t="b">
        <v>0</v>
      </c>
      <c r="L1726" s="45"/>
      <c r="M1726" s="45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  <c r="AC1726" s="26"/>
      <c r="AD1726" s="26"/>
      <c r="AE1726" s="26"/>
      <c r="AF1726" s="26"/>
      <c r="AG1726" s="26"/>
      <c r="AH1726" s="26"/>
      <c r="AI1726" s="26"/>
      <c r="AJ1726" s="26"/>
      <c r="AK1726" s="2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46"/>
      <c r="BM1726" s="46"/>
      <c r="BN1726" s="46"/>
      <c r="BO1726" s="46"/>
    </row>
    <row r="1727">
      <c r="A1727" s="16" t="str">
        <f t="shared" si="14"/>
        <v/>
      </c>
      <c r="B1727" s="16" t="str">
        <f t="shared" si="15"/>
        <v/>
      </c>
      <c r="C1727" s="35" t="str">
        <f t="shared" si="16"/>
        <v/>
      </c>
      <c r="D1727" s="35" t="str">
        <f t="shared" si="17"/>
        <v/>
      </c>
      <c r="E1727" s="35" t="str">
        <f t="shared" si="18"/>
        <v/>
      </c>
      <c r="F1727" s="35" t="str">
        <f t="shared" si="19"/>
        <v/>
      </c>
      <c r="G1727" s="35" t="str">
        <f t="shared" si="20"/>
        <v/>
      </c>
      <c r="H1727" s="49"/>
      <c r="I1727" s="47" t="str">
        <f t="shared" si="21"/>
        <v/>
      </c>
      <c r="J1727" s="50"/>
      <c r="K1727" s="45" t="b">
        <v>0</v>
      </c>
      <c r="L1727" s="45"/>
      <c r="M1727" s="45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46"/>
      <c r="BM1727" s="46"/>
      <c r="BN1727" s="46"/>
      <c r="BO1727" s="46"/>
    </row>
    <row r="1728">
      <c r="A1728" s="16" t="str">
        <f t="shared" si="14"/>
        <v/>
      </c>
      <c r="B1728" s="16" t="str">
        <f t="shared" si="15"/>
        <v/>
      </c>
      <c r="C1728" s="35" t="str">
        <f t="shared" si="16"/>
        <v/>
      </c>
      <c r="D1728" s="35" t="str">
        <f t="shared" si="17"/>
        <v/>
      </c>
      <c r="E1728" s="35" t="str">
        <f t="shared" si="18"/>
        <v/>
      </c>
      <c r="F1728" s="35" t="str">
        <f t="shared" si="19"/>
        <v/>
      </c>
      <c r="G1728" s="35" t="str">
        <f t="shared" si="20"/>
        <v/>
      </c>
      <c r="H1728" s="49"/>
      <c r="I1728" s="47" t="str">
        <f t="shared" si="21"/>
        <v/>
      </c>
      <c r="J1728" s="50"/>
      <c r="K1728" s="45" t="b">
        <v>0</v>
      </c>
      <c r="L1728" s="45"/>
      <c r="M1728" s="45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  <c r="AC1728" s="26"/>
      <c r="AD1728" s="26"/>
      <c r="AE1728" s="26"/>
      <c r="AF1728" s="26"/>
      <c r="AG1728" s="26"/>
      <c r="AH1728" s="26"/>
      <c r="AI1728" s="26"/>
      <c r="AJ1728" s="26"/>
      <c r="AK1728" s="2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46"/>
      <c r="BM1728" s="46"/>
      <c r="BN1728" s="46"/>
      <c r="BO1728" s="46"/>
    </row>
    <row r="1729">
      <c r="A1729" s="16" t="str">
        <f t="shared" si="14"/>
        <v/>
      </c>
      <c r="B1729" s="16" t="str">
        <f t="shared" si="15"/>
        <v/>
      </c>
      <c r="C1729" s="35" t="str">
        <f t="shared" si="16"/>
        <v/>
      </c>
      <c r="D1729" s="35" t="str">
        <f t="shared" si="17"/>
        <v/>
      </c>
      <c r="E1729" s="35" t="str">
        <f t="shared" si="18"/>
        <v/>
      </c>
      <c r="F1729" s="35" t="str">
        <f t="shared" si="19"/>
        <v/>
      </c>
      <c r="G1729" s="35" t="str">
        <f t="shared" si="20"/>
        <v/>
      </c>
      <c r="H1729" s="49"/>
      <c r="I1729" s="47" t="str">
        <f t="shared" si="21"/>
        <v/>
      </c>
      <c r="J1729" s="50"/>
      <c r="K1729" s="45" t="b">
        <v>0</v>
      </c>
      <c r="L1729" s="45"/>
      <c r="M1729" s="45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  <c r="AC1729" s="26"/>
      <c r="AD1729" s="26"/>
      <c r="AE1729" s="26"/>
      <c r="AF1729" s="26"/>
      <c r="AG1729" s="26"/>
      <c r="AH1729" s="26"/>
      <c r="AI1729" s="26"/>
      <c r="AJ1729" s="26"/>
      <c r="AK1729" s="2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46"/>
      <c r="BM1729" s="46"/>
      <c r="BN1729" s="46"/>
      <c r="BO1729" s="46"/>
    </row>
    <row r="1730">
      <c r="A1730" s="16" t="str">
        <f t="shared" si="14"/>
        <v/>
      </c>
      <c r="B1730" s="16" t="str">
        <f t="shared" si="15"/>
        <v/>
      </c>
      <c r="C1730" s="35" t="str">
        <f t="shared" si="16"/>
        <v/>
      </c>
      <c r="D1730" s="35" t="str">
        <f t="shared" si="17"/>
        <v/>
      </c>
      <c r="E1730" s="35" t="str">
        <f t="shared" si="18"/>
        <v/>
      </c>
      <c r="F1730" s="35" t="str">
        <f t="shared" si="19"/>
        <v/>
      </c>
      <c r="G1730" s="35" t="str">
        <f t="shared" si="20"/>
        <v/>
      </c>
      <c r="H1730" s="49"/>
      <c r="I1730" s="47" t="str">
        <f t="shared" si="21"/>
        <v/>
      </c>
      <c r="J1730" s="50"/>
      <c r="K1730" s="45" t="b">
        <v>0</v>
      </c>
      <c r="L1730" s="45"/>
      <c r="M1730" s="45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  <c r="AC1730" s="26"/>
      <c r="AD1730" s="26"/>
      <c r="AE1730" s="26"/>
      <c r="AF1730" s="26"/>
      <c r="AG1730" s="26"/>
      <c r="AH1730" s="26"/>
      <c r="AI1730" s="26"/>
      <c r="AJ1730" s="26"/>
      <c r="AK1730" s="2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46"/>
      <c r="BM1730" s="46"/>
      <c r="BN1730" s="46"/>
      <c r="BO1730" s="46"/>
    </row>
    <row r="1731">
      <c r="A1731" s="16" t="str">
        <f t="shared" si="14"/>
        <v/>
      </c>
      <c r="B1731" s="16" t="str">
        <f t="shared" si="15"/>
        <v/>
      </c>
      <c r="C1731" s="35" t="str">
        <f t="shared" si="16"/>
        <v/>
      </c>
      <c r="D1731" s="35" t="str">
        <f t="shared" si="17"/>
        <v/>
      </c>
      <c r="E1731" s="35" t="str">
        <f t="shared" si="18"/>
        <v/>
      </c>
      <c r="F1731" s="35" t="str">
        <f t="shared" si="19"/>
        <v/>
      </c>
      <c r="G1731" s="35" t="str">
        <f t="shared" si="20"/>
        <v/>
      </c>
      <c r="H1731" s="49"/>
      <c r="I1731" s="47" t="str">
        <f t="shared" si="21"/>
        <v/>
      </c>
      <c r="J1731" s="50"/>
      <c r="K1731" s="45" t="b">
        <v>0</v>
      </c>
      <c r="L1731" s="45"/>
      <c r="M1731" s="45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  <c r="AC1731" s="26"/>
      <c r="AD1731" s="26"/>
      <c r="AE1731" s="26"/>
      <c r="AF1731" s="26"/>
      <c r="AG1731" s="26"/>
      <c r="AH1731" s="26"/>
      <c r="AI1731" s="26"/>
      <c r="AJ1731" s="26"/>
      <c r="AK1731" s="2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46"/>
      <c r="BM1731" s="46"/>
      <c r="BN1731" s="46"/>
      <c r="BO1731" s="46"/>
    </row>
    <row r="1732">
      <c r="A1732" s="16" t="str">
        <f t="shared" si="14"/>
        <v/>
      </c>
      <c r="B1732" s="16" t="str">
        <f t="shared" si="15"/>
        <v/>
      </c>
      <c r="C1732" s="35" t="str">
        <f t="shared" si="16"/>
        <v/>
      </c>
      <c r="D1732" s="35" t="str">
        <f t="shared" si="17"/>
        <v/>
      </c>
      <c r="E1732" s="35" t="str">
        <f t="shared" si="18"/>
        <v/>
      </c>
      <c r="F1732" s="35" t="str">
        <f t="shared" si="19"/>
        <v/>
      </c>
      <c r="G1732" s="35" t="str">
        <f t="shared" si="20"/>
        <v/>
      </c>
      <c r="H1732" s="49"/>
      <c r="I1732" s="47" t="str">
        <f t="shared" si="21"/>
        <v/>
      </c>
      <c r="J1732" s="50"/>
      <c r="K1732" s="45" t="b">
        <v>0</v>
      </c>
      <c r="L1732" s="45"/>
      <c r="M1732" s="45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  <c r="AC1732" s="26"/>
      <c r="AD1732" s="26"/>
      <c r="AE1732" s="26"/>
      <c r="AF1732" s="26"/>
      <c r="AG1732" s="26"/>
      <c r="AH1732" s="26"/>
      <c r="AI1732" s="26"/>
      <c r="AJ1732" s="26"/>
      <c r="AK1732" s="2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/>
    </row>
    <row r="1733">
      <c r="A1733" s="16" t="str">
        <f t="shared" si="14"/>
        <v/>
      </c>
      <c r="B1733" s="16" t="str">
        <f t="shared" si="15"/>
        <v/>
      </c>
      <c r="C1733" s="35" t="str">
        <f t="shared" si="16"/>
        <v/>
      </c>
      <c r="D1733" s="35" t="str">
        <f t="shared" si="17"/>
        <v/>
      </c>
      <c r="E1733" s="35" t="str">
        <f t="shared" si="18"/>
        <v/>
      </c>
      <c r="F1733" s="35" t="str">
        <f t="shared" si="19"/>
        <v/>
      </c>
      <c r="G1733" s="35" t="str">
        <f t="shared" si="20"/>
        <v/>
      </c>
      <c r="H1733" s="49"/>
      <c r="I1733" s="47" t="str">
        <f t="shared" si="21"/>
        <v/>
      </c>
      <c r="J1733" s="50"/>
      <c r="K1733" s="45" t="b">
        <v>0</v>
      </c>
      <c r="L1733" s="45"/>
      <c r="M1733" s="45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  <c r="AC1733" s="26"/>
      <c r="AD1733" s="26"/>
      <c r="AE1733" s="26"/>
      <c r="AF1733" s="26"/>
      <c r="AG1733" s="26"/>
      <c r="AH1733" s="26"/>
      <c r="AI1733" s="26"/>
      <c r="AJ1733" s="26"/>
      <c r="AK1733" s="2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46"/>
      <c r="BM1733" s="46"/>
      <c r="BN1733" s="46"/>
      <c r="BO1733" s="46"/>
    </row>
    <row r="1734">
      <c r="A1734" s="16" t="str">
        <f t="shared" si="14"/>
        <v/>
      </c>
      <c r="B1734" s="16" t="str">
        <f t="shared" si="15"/>
        <v/>
      </c>
      <c r="C1734" s="35" t="str">
        <f t="shared" si="16"/>
        <v/>
      </c>
      <c r="D1734" s="35" t="str">
        <f t="shared" si="17"/>
        <v/>
      </c>
      <c r="E1734" s="35" t="str">
        <f t="shared" si="18"/>
        <v/>
      </c>
      <c r="F1734" s="35" t="str">
        <f t="shared" si="19"/>
        <v/>
      </c>
      <c r="G1734" s="35" t="str">
        <f t="shared" si="20"/>
        <v/>
      </c>
      <c r="H1734" s="49"/>
      <c r="I1734" s="47" t="str">
        <f t="shared" si="21"/>
        <v/>
      </c>
      <c r="J1734" s="50"/>
      <c r="K1734" s="45" t="b">
        <v>0</v>
      </c>
      <c r="L1734" s="45"/>
      <c r="M1734" s="45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  <c r="AB1734" s="26"/>
      <c r="AC1734" s="26"/>
      <c r="AD1734" s="26"/>
      <c r="AE1734" s="26"/>
      <c r="AF1734" s="26"/>
      <c r="AG1734" s="26"/>
      <c r="AH1734" s="26"/>
      <c r="AI1734" s="26"/>
      <c r="AJ1734" s="26"/>
      <c r="AK1734" s="2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46"/>
      <c r="BM1734" s="46"/>
      <c r="BN1734" s="46"/>
      <c r="BO1734" s="46"/>
    </row>
    <row r="1735">
      <c r="A1735" s="16" t="str">
        <f t="shared" si="14"/>
        <v/>
      </c>
      <c r="B1735" s="16" t="str">
        <f t="shared" si="15"/>
        <v/>
      </c>
      <c r="C1735" s="35" t="str">
        <f t="shared" si="16"/>
        <v/>
      </c>
      <c r="D1735" s="35" t="str">
        <f t="shared" si="17"/>
        <v/>
      </c>
      <c r="E1735" s="35" t="str">
        <f t="shared" si="18"/>
        <v/>
      </c>
      <c r="F1735" s="35" t="str">
        <f t="shared" si="19"/>
        <v/>
      </c>
      <c r="G1735" s="35" t="str">
        <f t="shared" si="20"/>
        <v/>
      </c>
      <c r="H1735" s="49"/>
      <c r="I1735" s="47" t="str">
        <f t="shared" si="21"/>
        <v/>
      </c>
      <c r="J1735" s="50"/>
      <c r="K1735" s="45" t="b">
        <v>0</v>
      </c>
      <c r="L1735" s="45"/>
      <c r="M1735" s="45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  <c r="AB1735" s="26"/>
      <c r="AC1735" s="26"/>
      <c r="AD1735" s="26"/>
      <c r="AE1735" s="26"/>
      <c r="AF1735" s="26"/>
      <c r="AG1735" s="26"/>
      <c r="AH1735" s="26"/>
      <c r="AI1735" s="26"/>
      <c r="AJ1735" s="26"/>
      <c r="AK1735" s="2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46"/>
      <c r="BM1735" s="46"/>
      <c r="BN1735" s="46"/>
      <c r="BO1735" s="46"/>
    </row>
    <row r="1736">
      <c r="A1736" s="16" t="str">
        <f t="shared" si="14"/>
        <v/>
      </c>
      <c r="B1736" s="16" t="str">
        <f t="shared" si="15"/>
        <v/>
      </c>
      <c r="C1736" s="35" t="str">
        <f t="shared" si="16"/>
        <v/>
      </c>
      <c r="D1736" s="35" t="str">
        <f t="shared" si="17"/>
        <v/>
      </c>
      <c r="E1736" s="35" t="str">
        <f t="shared" si="18"/>
        <v/>
      </c>
      <c r="F1736" s="35" t="str">
        <f t="shared" si="19"/>
        <v/>
      </c>
      <c r="G1736" s="35" t="str">
        <f t="shared" si="20"/>
        <v/>
      </c>
      <c r="H1736" s="49"/>
      <c r="I1736" s="47" t="str">
        <f t="shared" si="21"/>
        <v/>
      </c>
      <c r="J1736" s="50"/>
      <c r="K1736" s="45" t="b">
        <v>0</v>
      </c>
      <c r="L1736" s="45"/>
      <c r="M1736" s="45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  <c r="AB1736" s="26"/>
      <c r="AC1736" s="26"/>
      <c r="AD1736" s="26"/>
      <c r="AE1736" s="26"/>
      <c r="AF1736" s="26"/>
      <c r="AG1736" s="26"/>
      <c r="AH1736" s="26"/>
      <c r="AI1736" s="26"/>
      <c r="AJ1736" s="26"/>
      <c r="AK1736" s="2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46"/>
      <c r="BM1736" s="46"/>
      <c r="BN1736" s="46"/>
      <c r="BO1736" s="46"/>
    </row>
    <row r="1737">
      <c r="A1737" s="16" t="str">
        <f t="shared" si="14"/>
        <v/>
      </c>
      <c r="B1737" s="16" t="str">
        <f t="shared" si="15"/>
        <v/>
      </c>
      <c r="C1737" s="35" t="str">
        <f t="shared" si="16"/>
        <v/>
      </c>
      <c r="D1737" s="35" t="str">
        <f t="shared" si="17"/>
        <v/>
      </c>
      <c r="E1737" s="35" t="str">
        <f t="shared" si="18"/>
        <v/>
      </c>
      <c r="F1737" s="35" t="str">
        <f t="shared" si="19"/>
        <v/>
      </c>
      <c r="G1737" s="35" t="str">
        <f t="shared" si="20"/>
        <v/>
      </c>
      <c r="H1737" s="49"/>
      <c r="I1737" s="47" t="str">
        <f t="shared" si="21"/>
        <v/>
      </c>
      <c r="J1737" s="50"/>
      <c r="K1737" s="45" t="b">
        <v>0</v>
      </c>
      <c r="L1737" s="45"/>
      <c r="M1737" s="45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  <c r="AC1737" s="26"/>
      <c r="AD1737" s="26"/>
      <c r="AE1737" s="26"/>
      <c r="AF1737" s="26"/>
      <c r="AG1737" s="26"/>
      <c r="AH1737" s="26"/>
      <c r="AI1737" s="26"/>
      <c r="AJ1737" s="26"/>
      <c r="AK1737" s="2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46"/>
      <c r="BM1737" s="46"/>
      <c r="BN1737" s="46"/>
      <c r="BO1737" s="46"/>
    </row>
    <row r="1738">
      <c r="A1738" s="16" t="str">
        <f t="shared" si="14"/>
        <v/>
      </c>
      <c r="B1738" s="16" t="str">
        <f t="shared" si="15"/>
        <v/>
      </c>
      <c r="C1738" s="35" t="str">
        <f t="shared" si="16"/>
        <v/>
      </c>
      <c r="D1738" s="35" t="str">
        <f t="shared" si="17"/>
        <v/>
      </c>
      <c r="E1738" s="35" t="str">
        <f t="shared" si="18"/>
        <v/>
      </c>
      <c r="F1738" s="35" t="str">
        <f t="shared" si="19"/>
        <v/>
      </c>
      <c r="G1738" s="35" t="str">
        <f t="shared" si="20"/>
        <v/>
      </c>
      <c r="H1738" s="49"/>
      <c r="I1738" s="47" t="str">
        <f t="shared" si="21"/>
        <v/>
      </c>
      <c r="J1738" s="50"/>
      <c r="K1738" s="45" t="b">
        <v>0</v>
      </c>
      <c r="L1738" s="45"/>
      <c r="M1738" s="45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  <c r="AC1738" s="26"/>
      <c r="AD1738" s="26"/>
      <c r="AE1738" s="26"/>
      <c r="AF1738" s="26"/>
      <c r="AG1738" s="26"/>
      <c r="AH1738" s="26"/>
      <c r="AI1738" s="26"/>
      <c r="AJ1738" s="26"/>
      <c r="AK1738" s="2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46"/>
      <c r="BM1738" s="46"/>
      <c r="BN1738" s="46"/>
      <c r="BO1738" s="46"/>
    </row>
    <row r="1739">
      <c r="A1739" s="16" t="str">
        <f t="shared" si="14"/>
        <v/>
      </c>
      <c r="B1739" s="16" t="str">
        <f t="shared" si="15"/>
        <v/>
      </c>
      <c r="C1739" s="35" t="str">
        <f t="shared" si="16"/>
        <v/>
      </c>
      <c r="D1739" s="35" t="str">
        <f t="shared" si="17"/>
        <v/>
      </c>
      <c r="E1739" s="35" t="str">
        <f t="shared" si="18"/>
        <v/>
      </c>
      <c r="F1739" s="35" t="str">
        <f t="shared" si="19"/>
        <v/>
      </c>
      <c r="G1739" s="35" t="str">
        <f t="shared" si="20"/>
        <v/>
      </c>
      <c r="H1739" s="49"/>
      <c r="I1739" s="47" t="str">
        <f t="shared" si="21"/>
        <v/>
      </c>
      <c r="J1739" s="50"/>
      <c r="K1739" s="45" t="b">
        <v>0</v>
      </c>
      <c r="L1739" s="45"/>
      <c r="M1739" s="45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  <c r="AC1739" s="26"/>
      <c r="AD1739" s="26"/>
      <c r="AE1739" s="26"/>
      <c r="AF1739" s="26"/>
      <c r="AG1739" s="26"/>
      <c r="AH1739" s="26"/>
      <c r="AI1739" s="26"/>
      <c r="AJ1739" s="26"/>
      <c r="AK1739" s="2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46"/>
      <c r="BM1739" s="46"/>
      <c r="BN1739" s="46"/>
      <c r="BO1739" s="46"/>
    </row>
    <row r="1740">
      <c r="A1740" s="16" t="str">
        <f t="shared" si="14"/>
        <v/>
      </c>
      <c r="B1740" s="16" t="str">
        <f t="shared" si="15"/>
        <v/>
      </c>
      <c r="C1740" s="35" t="str">
        <f t="shared" si="16"/>
        <v/>
      </c>
      <c r="D1740" s="35" t="str">
        <f t="shared" si="17"/>
        <v/>
      </c>
      <c r="E1740" s="35" t="str">
        <f t="shared" si="18"/>
        <v/>
      </c>
      <c r="F1740" s="35" t="str">
        <f t="shared" si="19"/>
        <v/>
      </c>
      <c r="G1740" s="35" t="str">
        <f t="shared" si="20"/>
        <v/>
      </c>
      <c r="H1740" s="49"/>
      <c r="I1740" s="47" t="str">
        <f t="shared" si="21"/>
        <v/>
      </c>
      <c r="J1740" s="50"/>
      <c r="K1740" s="45" t="b">
        <v>0</v>
      </c>
      <c r="L1740" s="45"/>
      <c r="M1740" s="45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  <c r="AC1740" s="26"/>
      <c r="AD1740" s="26"/>
      <c r="AE1740" s="26"/>
      <c r="AF1740" s="26"/>
      <c r="AG1740" s="26"/>
      <c r="AH1740" s="26"/>
      <c r="AI1740" s="26"/>
      <c r="AJ1740" s="26"/>
      <c r="AK1740" s="2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46"/>
      <c r="BM1740" s="46"/>
      <c r="BN1740" s="46"/>
      <c r="BO1740" s="46"/>
    </row>
    <row r="1741">
      <c r="A1741" s="16" t="str">
        <f t="shared" si="14"/>
        <v/>
      </c>
      <c r="B1741" s="16" t="str">
        <f t="shared" si="15"/>
        <v/>
      </c>
      <c r="C1741" s="35" t="str">
        <f t="shared" si="16"/>
        <v/>
      </c>
      <c r="D1741" s="35" t="str">
        <f t="shared" si="17"/>
        <v/>
      </c>
      <c r="E1741" s="35" t="str">
        <f t="shared" si="18"/>
        <v/>
      </c>
      <c r="F1741" s="35" t="str">
        <f t="shared" si="19"/>
        <v/>
      </c>
      <c r="G1741" s="35" t="str">
        <f t="shared" si="20"/>
        <v/>
      </c>
      <c r="H1741" s="49"/>
      <c r="I1741" s="47" t="str">
        <f t="shared" si="21"/>
        <v/>
      </c>
      <c r="J1741" s="50"/>
      <c r="K1741" s="45" t="b">
        <v>0</v>
      </c>
      <c r="L1741" s="45"/>
      <c r="M1741" s="45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  <c r="AC1741" s="26"/>
      <c r="AD1741" s="26"/>
      <c r="AE1741" s="26"/>
      <c r="AF1741" s="26"/>
      <c r="AG1741" s="26"/>
      <c r="AH1741" s="26"/>
      <c r="AI1741" s="26"/>
      <c r="AJ1741" s="26"/>
      <c r="AK1741" s="2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46"/>
      <c r="BM1741" s="46"/>
      <c r="BN1741" s="46"/>
      <c r="BO1741" s="46"/>
    </row>
    <row r="1742">
      <c r="A1742" s="16" t="str">
        <f t="shared" si="14"/>
        <v/>
      </c>
      <c r="B1742" s="16" t="str">
        <f t="shared" si="15"/>
        <v/>
      </c>
      <c r="C1742" s="35" t="str">
        <f t="shared" si="16"/>
        <v/>
      </c>
      <c r="D1742" s="35" t="str">
        <f t="shared" si="17"/>
        <v/>
      </c>
      <c r="E1742" s="35" t="str">
        <f t="shared" si="18"/>
        <v/>
      </c>
      <c r="F1742" s="35" t="str">
        <f t="shared" si="19"/>
        <v/>
      </c>
      <c r="G1742" s="35" t="str">
        <f t="shared" si="20"/>
        <v/>
      </c>
      <c r="H1742" s="49"/>
      <c r="I1742" s="47" t="str">
        <f t="shared" si="21"/>
        <v/>
      </c>
      <c r="J1742" s="50"/>
      <c r="K1742" s="45" t="b">
        <v>0</v>
      </c>
      <c r="L1742" s="45"/>
      <c r="M1742" s="45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  <c r="AC1742" s="26"/>
      <c r="AD1742" s="26"/>
      <c r="AE1742" s="26"/>
      <c r="AF1742" s="26"/>
      <c r="AG1742" s="26"/>
      <c r="AH1742" s="26"/>
      <c r="AI1742" s="26"/>
      <c r="AJ1742" s="26"/>
      <c r="AK1742" s="2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/>
    </row>
    <row r="1743">
      <c r="A1743" s="16" t="str">
        <f t="shared" si="14"/>
        <v/>
      </c>
      <c r="B1743" s="16" t="str">
        <f t="shared" si="15"/>
        <v/>
      </c>
      <c r="C1743" s="35" t="str">
        <f t="shared" si="16"/>
        <v/>
      </c>
      <c r="D1743" s="35" t="str">
        <f t="shared" si="17"/>
        <v/>
      </c>
      <c r="E1743" s="35" t="str">
        <f t="shared" si="18"/>
        <v/>
      </c>
      <c r="F1743" s="35" t="str">
        <f t="shared" si="19"/>
        <v/>
      </c>
      <c r="G1743" s="35" t="str">
        <f t="shared" si="20"/>
        <v/>
      </c>
      <c r="H1743" s="49"/>
      <c r="I1743" s="47" t="str">
        <f t="shared" si="21"/>
        <v/>
      </c>
      <c r="J1743" s="50"/>
      <c r="K1743" s="45" t="b">
        <v>0</v>
      </c>
      <c r="L1743" s="45"/>
      <c r="M1743" s="45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  <c r="AC1743" s="26"/>
      <c r="AD1743" s="26"/>
      <c r="AE1743" s="26"/>
      <c r="AF1743" s="26"/>
      <c r="AG1743" s="26"/>
      <c r="AH1743" s="26"/>
      <c r="AI1743" s="26"/>
      <c r="AJ1743" s="26"/>
      <c r="AK1743" s="2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46"/>
      <c r="BM1743" s="46"/>
      <c r="BN1743" s="46"/>
      <c r="BO1743" s="46"/>
    </row>
    <row r="1744">
      <c r="A1744" s="16" t="str">
        <f t="shared" si="14"/>
        <v/>
      </c>
      <c r="B1744" s="16" t="str">
        <f t="shared" si="15"/>
        <v/>
      </c>
      <c r="C1744" s="35" t="str">
        <f t="shared" si="16"/>
        <v/>
      </c>
      <c r="D1744" s="35" t="str">
        <f t="shared" si="17"/>
        <v/>
      </c>
      <c r="E1744" s="35" t="str">
        <f t="shared" si="18"/>
        <v/>
      </c>
      <c r="F1744" s="35" t="str">
        <f t="shared" si="19"/>
        <v/>
      </c>
      <c r="G1744" s="35" t="str">
        <f t="shared" si="20"/>
        <v/>
      </c>
      <c r="H1744" s="49"/>
      <c r="I1744" s="47" t="str">
        <f t="shared" si="21"/>
        <v/>
      </c>
      <c r="J1744" s="50"/>
      <c r="K1744" s="45" t="b">
        <v>0</v>
      </c>
      <c r="L1744" s="45"/>
      <c r="M1744" s="45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  <c r="AC1744" s="26"/>
      <c r="AD1744" s="26"/>
      <c r="AE1744" s="26"/>
      <c r="AF1744" s="26"/>
      <c r="AG1744" s="26"/>
      <c r="AH1744" s="26"/>
      <c r="AI1744" s="26"/>
      <c r="AJ1744" s="26"/>
      <c r="AK1744" s="2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46"/>
      <c r="BM1744" s="46"/>
      <c r="BN1744" s="46"/>
      <c r="BO1744" s="46"/>
    </row>
    <row r="1745">
      <c r="A1745" s="16" t="str">
        <f t="shared" si="14"/>
        <v/>
      </c>
      <c r="B1745" s="16" t="str">
        <f t="shared" si="15"/>
        <v/>
      </c>
      <c r="C1745" s="35" t="str">
        <f t="shared" si="16"/>
        <v/>
      </c>
      <c r="D1745" s="35" t="str">
        <f t="shared" si="17"/>
        <v/>
      </c>
      <c r="E1745" s="35" t="str">
        <f t="shared" si="18"/>
        <v/>
      </c>
      <c r="F1745" s="35" t="str">
        <f t="shared" si="19"/>
        <v/>
      </c>
      <c r="G1745" s="35" t="str">
        <f t="shared" si="20"/>
        <v/>
      </c>
      <c r="H1745" s="49"/>
      <c r="I1745" s="47" t="str">
        <f t="shared" si="21"/>
        <v/>
      </c>
      <c r="J1745" s="50"/>
      <c r="K1745" s="45" t="b">
        <v>0</v>
      </c>
      <c r="L1745" s="45"/>
      <c r="M1745" s="45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  <c r="AC1745" s="26"/>
      <c r="AD1745" s="26"/>
      <c r="AE1745" s="26"/>
      <c r="AF1745" s="26"/>
      <c r="AG1745" s="26"/>
      <c r="AH1745" s="26"/>
      <c r="AI1745" s="26"/>
      <c r="AJ1745" s="26"/>
      <c r="AK1745" s="2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</row>
    <row r="1746">
      <c r="A1746" s="16" t="str">
        <f t="shared" si="14"/>
        <v/>
      </c>
      <c r="B1746" s="16" t="str">
        <f t="shared" si="15"/>
        <v/>
      </c>
      <c r="C1746" s="35" t="str">
        <f t="shared" si="16"/>
        <v/>
      </c>
      <c r="D1746" s="35" t="str">
        <f t="shared" si="17"/>
        <v/>
      </c>
      <c r="E1746" s="35" t="str">
        <f t="shared" si="18"/>
        <v/>
      </c>
      <c r="F1746" s="35" t="str">
        <f t="shared" si="19"/>
        <v/>
      </c>
      <c r="G1746" s="35" t="str">
        <f t="shared" si="20"/>
        <v/>
      </c>
      <c r="H1746" s="49"/>
      <c r="I1746" s="47" t="str">
        <f t="shared" si="21"/>
        <v/>
      </c>
      <c r="J1746" s="50"/>
      <c r="K1746" s="45" t="b">
        <v>0</v>
      </c>
      <c r="L1746" s="45"/>
      <c r="M1746" s="45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  <c r="AB1746" s="26"/>
      <c r="AC1746" s="26"/>
      <c r="AD1746" s="26"/>
      <c r="AE1746" s="26"/>
      <c r="AF1746" s="26"/>
      <c r="AG1746" s="26"/>
      <c r="AH1746" s="26"/>
      <c r="AI1746" s="26"/>
      <c r="AJ1746" s="26"/>
      <c r="AK1746" s="2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</row>
    <row r="1747">
      <c r="A1747" s="16" t="str">
        <f t="shared" si="14"/>
        <v/>
      </c>
      <c r="B1747" s="16" t="str">
        <f t="shared" si="15"/>
        <v/>
      </c>
      <c r="C1747" s="35" t="str">
        <f t="shared" si="16"/>
        <v/>
      </c>
      <c r="D1747" s="35" t="str">
        <f t="shared" si="17"/>
        <v/>
      </c>
      <c r="E1747" s="35" t="str">
        <f t="shared" si="18"/>
        <v/>
      </c>
      <c r="F1747" s="35" t="str">
        <f t="shared" si="19"/>
        <v/>
      </c>
      <c r="G1747" s="35" t="str">
        <f t="shared" si="20"/>
        <v/>
      </c>
      <c r="H1747" s="49"/>
      <c r="I1747" s="47" t="str">
        <f t="shared" si="21"/>
        <v/>
      </c>
      <c r="J1747" s="50"/>
      <c r="K1747" s="45" t="b">
        <v>0</v>
      </c>
      <c r="L1747" s="45"/>
      <c r="M1747" s="45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  <c r="AB1747" s="26"/>
      <c r="AC1747" s="26"/>
      <c r="AD1747" s="26"/>
      <c r="AE1747" s="26"/>
      <c r="AF1747" s="26"/>
      <c r="AG1747" s="26"/>
      <c r="AH1747" s="26"/>
      <c r="AI1747" s="26"/>
      <c r="AJ1747" s="26"/>
      <c r="AK1747" s="2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</row>
    <row r="1748">
      <c r="A1748" s="16" t="str">
        <f t="shared" si="14"/>
        <v/>
      </c>
      <c r="B1748" s="16" t="str">
        <f t="shared" si="15"/>
        <v/>
      </c>
      <c r="C1748" s="35" t="str">
        <f t="shared" si="16"/>
        <v/>
      </c>
      <c r="D1748" s="35" t="str">
        <f t="shared" si="17"/>
        <v/>
      </c>
      <c r="E1748" s="35" t="str">
        <f t="shared" si="18"/>
        <v/>
      </c>
      <c r="F1748" s="35" t="str">
        <f t="shared" si="19"/>
        <v/>
      </c>
      <c r="G1748" s="35" t="str">
        <f t="shared" si="20"/>
        <v/>
      </c>
      <c r="H1748" s="49"/>
      <c r="I1748" s="47" t="str">
        <f t="shared" si="21"/>
        <v/>
      </c>
      <c r="J1748" s="50"/>
      <c r="K1748" s="45" t="b">
        <v>0</v>
      </c>
      <c r="L1748" s="45"/>
      <c r="M1748" s="45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  <c r="AB1748" s="26"/>
      <c r="AC1748" s="26"/>
      <c r="AD1748" s="26"/>
      <c r="AE1748" s="26"/>
      <c r="AF1748" s="26"/>
      <c r="AG1748" s="26"/>
      <c r="AH1748" s="26"/>
      <c r="AI1748" s="26"/>
      <c r="AJ1748" s="26"/>
      <c r="AK1748" s="2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</row>
    <row r="1749">
      <c r="A1749" s="16" t="str">
        <f t="shared" si="14"/>
        <v/>
      </c>
      <c r="B1749" s="16" t="str">
        <f t="shared" si="15"/>
        <v/>
      </c>
      <c r="C1749" s="35" t="str">
        <f t="shared" si="16"/>
        <v/>
      </c>
      <c r="D1749" s="35" t="str">
        <f t="shared" si="17"/>
        <v/>
      </c>
      <c r="E1749" s="35" t="str">
        <f t="shared" si="18"/>
        <v/>
      </c>
      <c r="F1749" s="35" t="str">
        <f t="shared" si="19"/>
        <v/>
      </c>
      <c r="G1749" s="35" t="str">
        <f t="shared" si="20"/>
        <v/>
      </c>
      <c r="H1749" s="49"/>
      <c r="I1749" s="47" t="str">
        <f t="shared" si="21"/>
        <v/>
      </c>
      <c r="J1749" s="50"/>
      <c r="K1749" s="45" t="b">
        <v>0</v>
      </c>
      <c r="L1749" s="45"/>
      <c r="M1749" s="45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  <c r="AB1749" s="26"/>
      <c r="AC1749" s="26"/>
      <c r="AD1749" s="26"/>
      <c r="AE1749" s="26"/>
      <c r="AF1749" s="26"/>
      <c r="AG1749" s="26"/>
      <c r="AH1749" s="26"/>
      <c r="AI1749" s="26"/>
      <c r="AJ1749" s="26"/>
      <c r="AK1749" s="2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</row>
    <row r="1750">
      <c r="A1750" s="16" t="str">
        <f t="shared" si="14"/>
        <v/>
      </c>
      <c r="B1750" s="16" t="str">
        <f t="shared" si="15"/>
        <v/>
      </c>
      <c r="C1750" s="35" t="str">
        <f t="shared" si="16"/>
        <v/>
      </c>
      <c r="D1750" s="35" t="str">
        <f t="shared" si="17"/>
        <v/>
      </c>
      <c r="E1750" s="35" t="str">
        <f t="shared" si="18"/>
        <v/>
      </c>
      <c r="F1750" s="35" t="str">
        <f t="shared" si="19"/>
        <v/>
      </c>
      <c r="G1750" s="35" t="str">
        <f t="shared" si="20"/>
        <v/>
      </c>
      <c r="H1750" s="49"/>
      <c r="I1750" s="47" t="str">
        <f t="shared" si="21"/>
        <v/>
      </c>
      <c r="J1750" s="50"/>
      <c r="K1750" s="45" t="b">
        <v>0</v>
      </c>
      <c r="L1750" s="45"/>
      <c r="M1750" s="45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  <c r="AB1750" s="26"/>
      <c r="AC1750" s="26"/>
      <c r="AD1750" s="26"/>
      <c r="AE1750" s="26"/>
      <c r="AF1750" s="26"/>
      <c r="AG1750" s="26"/>
      <c r="AH1750" s="26"/>
      <c r="AI1750" s="26"/>
      <c r="AJ1750" s="26"/>
      <c r="AK1750" s="2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</row>
    <row r="1751">
      <c r="A1751" s="16" t="str">
        <f t="shared" si="14"/>
        <v/>
      </c>
      <c r="B1751" s="16" t="str">
        <f t="shared" si="15"/>
        <v/>
      </c>
      <c r="C1751" s="35" t="str">
        <f t="shared" si="16"/>
        <v/>
      </c>
      <c r="D1751" s="35" t="str">
        <f t="shared" si="17"/>
        <v/>
      </c>
      <c r="E1751" s="35" t="str">
        <f t="shared" si="18"/>
        <v/>
      </c>
      <c r="F1751" s="35" t="str">
        <f t="shared" si="19"/>
        <v/>
      </c>
      <c r="G1751" s="35" t="str">
        <f t="shared" si="20"/>
        <v/>
      </c>
      <c r="H1751" s="49"/>
      <c r="I1751" s="47" t="str">
        <f t="shared" si="21"/>
        <v/>
      </c>
      <c r="J1751" s="50"/>
      <c r="K1751" s="45" t="b">
        <v>0</v>
      </c>
      <c r="L1751" s="45"/>
      <c r="M1751" s="45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  <c r="AC1751" s="26"/>
      <c r="AD1751" s="26"/>
      <c r="AE1751" s="26"/>
      <c r="AF1751" s="26"/>
      <c r="AG1751" s="26"/>
      <c r="AH1751" s="26"/>
      <c r="AI1751" s="26"/>
      <c r="AJ1751" s="26"/>
      <c r="AK1751" s="2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</row>
    <row r="1752">
      <c r="A1752" s="16" t="str">
        <f t="shared" si="14"/>
        <v/>
      </c>
      <c r="B1752" s="16" t="str">
        <f t="shared" si="15"/>
        <v/>
      </c>
      <c r="C1752" s="35" t="str">
        <f t="shared" si="16"/>
        <v/>
      </c>
      <c r="D1752" s="35" t="str">
        <f t="shared" si="17"/>
        <v/>
      </c>
      <c r="E1752" s="35" t="str">
        <f t="shared" si="18"/>
        <v/>
      </c>
      <c r="F1752" s="35" t="str">
        <f t="shared" si="19"/>
        <v/>
      </c>
      <c r="G1752" s="35" t="str">
        <f t="shared" si="20"/>
        <v/>
      </c>
      <c r="H1752" s="49"/>
      <c r="I1752" s="47" t="str">
        <f t="shared" si="21"/>
        <v/>
      </c>
      <c r="J1752" s="50"/>
      <c r="K1752" s="45" t="b">
        <v>0</v>
      </c>
      <c r="L1752" s="45"/>
      <c r="M1752" s="45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  <c r="AB1752" s="26"/>
      <c r="AC1752" s="26"/>
      <c r="AD1752" s="26"/>
      <c r="AE1752" s="26"/>
      <c r="AF1752" s="26"/>
      <c r="AG1752" s="26"/>
      <c r="AH1752" s="26"/>
      <c r="AI1752" s="26"/>
      <c r="AJ1752" s="26"/>
      <c r="AK1752" s="2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</row>
    <row r="1753">
      <c r="A1753" s="16" t="str">
        <f t="shared" si="14"/>
        <v/>
      </c>
      <c r="B1753" s="16" t="str">
        <f t="shared" si="15"/>
        <v/>
      </c>
      <c r="C1753" s="35" t="str">
        <f t="shared" si="16"/>
        <v/>
      </c>
      <c r="D1753" s="35" t="str">
        <f t="shared" si="17"/>
        <v/>
      </c>
      <c r="E1753" s="35" t="str">
        <f t="shared" si="18"/>
        <v/>
      </c>
      <c r="F1753" s="35" t="str">
        <f t="shared" si="19"/>
        <v/>
      </c>
      <c r="G1753" s="35" t="str">
        <f t="shared" si="20"/>
        <v/>
      </c>
      <c r="H1753" s="49"/>
      <c r="I1753" s="47" t="str">
        <f t="shared" si="21"/>
        <v/>
      </c>
      <c r="J1753" s="50"/>
      <c r="K1753" s="45" t="b">
        <v>0</v>
      </c>
      <c r="L1753" s="45"/>
      <c r="M1753" s="45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  <c r="AB1753" s="26"/>
      <c r="AC1753" s="26"/>
      <c r="AD1753" s="26"/>
      <c r="AE1753" s="26"/>
      <c r="AF1753" s="26"/>
      <c r="AG1753" s="26"/>
      <c r="AH1753" s="26"/>
      <c r="AI1753" s="26"/>
      <c r="AJ1753" s="26"/>
      <c r="AK1753" s="2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</row>
    <row r="1754">
      <c r="A1754" s="16" t="str">
        <f t="shared" si="14"/>
        <v/>
      </c>
      <c r="B1754" s="16" t="str">
        <f t="shared" si="15"/>
        <v/>
      </c>
      <c r="C1754" s="35" t="str">
        <f t="shared" si="16"/>
        <v/>
      </c>
      <c r="D1754" s="35" t="str">
        <f t="shared" si="17"/>
        <v/>
      </c>
      <c r="E1754" s="35" t="str">
        <f t="shared" si="18"/>
        <v/>
      </c>
      <c r="F1754" s="35" t="str">
        <f t="shared" si="19"/>
        <v/>
      </c>
      <c r="G1754" s="35" t="str">
        <f t="shared" si="20"/>
        <v/>
      </c>
      <c r="H1754" s="49"/>
      <c r="I1754" s="47" t="str">
        <f t="shared" si="21"/>
        <v/>
      </c>
      <c r="J1754" s="50"/>
      <c r="K1754" s="45" t="b">
        <v>0</v>
      </c>
      <c r="L1754" s="45"/>
      <c r="M1754" s="45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  <c r="AB1754" s="26"/>
      <c r="AC1754" s="26"/>
      <c r="AD1754" s="26"/>
      <c r="AE1754" s="26"/>
      <c r="AF1754" s="26"/>
      <c r="AG1754" s="26"/>
      <c r="AH1754" s="26"/>
      <c r="AI1754" s="26"/>
      <c r="AJ1754" s="26"/>
      <c r="AK1754" s="2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</row>
    <row r="1755">
      <c r="A1755" s="16" t="str">
        <f t="shared" si="14"/>
        <v/>
      </c>
      <c r="B1755" s="16" t="str">
        <f t="shared" si="15"/>
        <v/>
      </c>
      <c r="C1755" s="35" t="str">
        <f t="shared" si="16"/>
        <v/>
      </c>
      <c r="D1755" s="35" t="str">
        <f t="shared" si="17"/>
        <v/>
      </c>
      <c r="E1755" s="35" t="str">
        <f t="shared" si="18"/>
        <v/>
      </c>
      <c r="F1755" s="35" t="str">
        <f t="shared" si="19"/>
        <v/>
      </c>
      <c r="G1755" s="35" t="str">
        <f t="shared" si="20"/>
        <v/>
      </c>
      <c r="H1755" s="49"/>
      <c r="I1755" s="47" t="str">
        <f t="shared" si="21"/>
        <v/>
      </c>
      <c r="J1755" s="50"/>
      <c r="K1755" s="45" t="b">
        <v>0</v>
      </c>
      <c r="L1755" s="45"/>
      <c r="M1755" s="45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  <c r="AC1755" s="26"/>
      <c r="AD1755" s="26"/>
      <c r="AE1755" s="26"/>
      <c r="AF1755" s="26"/>
      <c r="AG1755" s="26"/>
      <c r="AH1755" s="26"/>
      <c r="AI1755" s="26"/>
      <c r="AJ1755" s="26"/>
      <c r="AK1755" s="2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</row>
    <row r="1756">
      <c r="A1756" s="16" t="str">
        <f t="shared" si="14"/>
        <v/>
      </c>
      <c r="B1756" s="16" t="str">
        <f t="shared" si="15"/>
        <v/>
      </c>
      <c r="C1756" s="35" t="str">
        <f t="shared" si="16"/>
        <v/>
      </c>
      <c r="D1756" s="35" t="str">
        <f t="shared" si="17"/>
        <v/>
      </c>
      <c r="E1756" s="35" t="str">
        <f t="shared" si="18"/>
        <v/>
      </c>
      <c r="F1756" s="35" t="str">
        <f t="shared" si="19"/>
        <v/>
      </c>
      <c r="G1756" s="35" t="str">
        <f t="shared" si="20"/>
        <v/>
      </c>
      <c r="H1756" s="49"/>
      <c r="I1756" s="47" t="str">
        <f t="shared" si="21"/>
        <v/>
      </c>
      <c r="J1756" s="50"/>
      <c r="K1756" s="45" t="b">
        <v>0</v>
      </c>
      <c r="L1756" s="45"/>
      <c r="M1756" s="45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  <c r="AC1756" s="26"/>
      <c r="AD1756" s="26"/>
      <c r="AE1756" s="26"/>
      <c r="AF1756" s="26"/>
      <c r="AG1756" s="26"/>
      <c r="AH1756" s="26"/>
      <c r="AI1756" s="26"/>
      <c r="AJ1756" s="26"/>
      <c r="AK1756" s="2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</row>
    <row r="1757">
      <c r="A1757" s="16" t="str">
        <f t="shared" si="14"/>
        <v/>
      </c>
      <c r="B1757" s="16" t="str">
        <f t="shared" si="15"/>
        <v/>
      </c>
      <c r="C1757" s="35" t="str">
        <f t="shared" si="16"/>
        <v/>
      </c>
      <c r="D1757" s="35" t="str">
        <f t="shared" si="17"/>
        <v/>
      </c>
      <c r="E1757" s="35" t="str">
        <f t="shared" si="18"/>
        <v/>
      </c>
      <c r="F1757" s="35" t="str">
        <f t="shared" si="19"/>
        <v/>
      </c>
      <c r="G1757" s="35" t="str">
        <f t="shared" si="20"/>
        <v/>
      </c>
      <c r="H1757" s="49"/>
      <c r="I1757" s="47" t="str">
        <f t="shared" si="21"/>
        <v/>
      </c>
      <c r="J1757" s="50"/>
      <c r="K1757" s="45" t="b">
        <v>0</v>
      </c>
      <c r="L1757" s="45"/>
      <c r="M1757" s="45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  <c r="AC1757" s="26"/>
      <c r="AD1757" s="26"/>
      <c r="AE1757" s="26"/>
      <c r="AF1757" s="26"/>
      <c r="AG1757" s="26"/>
      <c r="AH1757" s="26"/>
      <c r="AI1757" s="26"/>
      <c r="AJ1757" s="26"/>
      <c r="AK1757" s="2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</row>
    <row r="1758">
      <c r="A1758" s="16" t="str">
        <f t="shared" si="14"/>
        <v/>
      </c>
      <c r="B1758" s="16" t="str">
        <f t="shared" si="15"/>
        <v/>
      </c>
      <c r="C1758" s="35" t="str">
        <f t="shared" si="16"/>
        <v/>
      </c>
      <c r="D1758" s="35" t="str">
        <f t="shared" si="17"/>
        <v/>
      </c>
      <c r="E1758" s="35" t="str">
        <f t="shared" si="18"/>
        <v/>
      </c>
      <c r="F1758" s="35" t="str">
        <f t="shared" si="19"/>
        <v/>
      </c>
      <c r="G1758" s="35" t="str">
        <f t="shared" si="20"/>
        <v/>
      </c>
      <c r="H1758" s="49"/>
      <c r="I1758" s="47" t="str">
        <f t="shared" si="21"/>
        <v/>
      </c>
      <c r="J1758" s="50"/>
      <c r="K1758" s="45" t="b">
        <v>0</v>
      </c>
      <c r="L1758" s="45"/>
      <c r="M1758" s="45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  <c r="AC1758" s="26"/>
      <c r="AD1758" s="26"/>
      <c r="AE1758" s="26"/>
      <c r="AF1758" s="26"/>
      <c r="AG1758" s="26"/>
      <c r="AH1758" s="26"/>
      <c r="AI1758" s="26"/>
      <c r="AJ1758" s="26"/>
      <c r="AK1758" s="2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</row>
    <row r="1759">
      <c r="A1759" s="16" t="str">
        <f t="shared" si="14"/>
        <v/>
      </c>
      <c r="B1759" s="16" t="str">
        <f t="shared" si="15"/>
        <v/>
      </c>
      <c r="C1759" s="35" t="str">
        <f t="shared" si="16"/>
        <v/>
      </c>
      <c r="D1759" s="35" t="str">
        <f t="shared" si="17"/>
        <v/>
      </c>
      <c r="E1759" s="35" t="str">
        <f t="shared" si="18"/>
        <v/>
      </c>
      <c r="F1759" s="35" t="str">
        <f t="shared" si="19"/>
        <v/>
      </c>
      <c r="G1759" s="35" t="str">
        <f t="shared" si="20"/>
        <v/>
      </c>
      <c r="H1759" s="49"/>
      <c r="I1759" s="47" t="str">
        <f t="shared" si="21"/>
        <v/>
      </c>
      <c r="J1759" s="50"/>
      <c r="K1759" s="45" t="b">
        <v>0</v>
      </c>
      <c r="L1759" s="45"/>
      <c r="M1759" s="45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  <c r="AC1759" s="26"/>
      <c r="AD1759" s="26"/>
      <c r="AE1759" s="26"/>
      <c r="AF1759" s="26"/>
      <c r="AG1759" s="26"/>
      <c r="AH1759" s="26"/>
      <c r="AI1759" s="26"/>
      <c r="AJ1759" s="26"/>
      <c r="AK1759" s="2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46"/>
      <c r="BM1759" s="46"/>
      <c r="BN1759" s="46"/>
      <c r="BO1759" s="46"/>
    </row>
    <row r="1760">
      <c r="A1760" s="16" t="str">
        <f t="shared" si="14"/>
        <v/>
      </c>
      <c r="B1760" s="16" t="str">
        <f t="shared" si="15"/>
        <v/>
      </c>
      <c r="C1760" s="35" t="str">
        <f t="shared" si="16"/>
        <v/>
      </c>
      <c r="D1760" s="35" t="str">
        <f t="shared" si="17"/>
        <v/>
      </c>
      <c r="E1760" s="35" t="str">
        <f t="shared" si="18"/>
        <v/>
      </c>
      <c r="F1760" s="35" t="str">
        <f t="shared" si="19"/>
        <v/>
      </c>
      <c r="G1760" s="35" t="str">
        <f t="shared" si="20"/>
        <v/>
      </c>
      <c r="H1760" s="49"/>
      <c r="I1760" s="47" t="str">
        <f t="shared" si="21"/>
        <v/>
      </c>
      <c r="J1760" s="50"/>
      <c r="K1760" s="45" t="b">
        <v>0</v>
      </c>
      <c r="L1760" s="45"/>
      <c r="M1760" s="45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  <c r="AC1760" s="26"/>
      <c r="AD1760" s="26"/>
      <c r="AE1760" s="26"/>
      <c r="AF1760" s="26"/>
      <c r="AG1760" s="26"/>
      <c r="AH1760" s="26"/>
      <c r="AI1760" s="26"/>
      <c r="AJ1760" s="26"/>
      <c r="AK1760" s="2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</row>
    <row r="1761">
      <c r="A1761" s="16" t="str">
        <f t="shared" si="14"/>
        <v/>
      </c>
      <c r="B1761" s="16" t="str">
        <f t="shared" si="15"/>
        <v/>
      </c>
      <c r="C1761" s="35" t="str">
        <f t="shared" si="16"/>
        <v/>
      </c>
      <c r="D1761" s="35" t="str">
        <f t="shared" si="17"/>
        <v/>
      </c>
      <c r="E1761" s="35" t="str">
        <f t="shared" si="18"/>
        <v/>
      </c>
      <c r="F1761" s="35" t="str">
        <f t="shared" si="19"/>
        <v/>
      </c>
      <c r="G1761" s="35" t="str">
        <f t="shared" si="20"/>
        <v/>
      </c>
      <c r="H1761" s="49"/>
      <c r="I1761" s="47" t="str">
        <f t="shared" si="21"/>
        <v/>
      </c>
      <c r="J1761" s="50"/>
      <c r="K1761" s="45" t="b">
        <v>0</v>
      </c>
      <c r="L1761" s="45"/>
      <c r="M1761" s="45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  <c r="AC1761" s="26"/>
      <c r="AD1761" s="26"/>
      <c r="AE1761" s="26"/>
      <c r="AF1761" s="26"/>
      <c r="AG1761" s="26"/>
      <c r="AH1761" s="26"/>
      <c r="AI1761" s="26"/>
      <c r="AJ1761" s="26"/>
      <c r="AK1761" s="2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</row>
    <row r="1762">
      <c r="A1762" s="16" t="str">
        <f t="shared" si="14"/>
        <v/>
      </c>
      <c r="B1762" s="16" t="str">
        <f t="shared" si="15"/>
        <v/>
      </c>
      <c r="C1762" s="35" t="str">
        <f t="shared" si="16"/>
        <v/>
      </c>
      <c r="D1762" s="35" t="str">
        <f t="shared" si="17"/>
        <v/>
      </c>
      <c r="E1762" s="35" t="str">
        <f t="shared" si="18"/>
        <v/>
      </c>
      <c r="F1762" s="35" t="str">
        <f t="shared" si="19"/>
        <v/>
      </c>
      <c r="G1762" s="35" t="str">
        <f t="shared" si="20"/>
        <v/>
      </c>
      <c r="H1762" s="49"/>
      <c r="I1762" s="47" t="str">
        <f t="shared" si="21"/>
        <v/>
      </c>
      <c r="J1762" s="50"/>
      <c r="K1762" s="45" t="b">
        <v>0</v>
      </c>
      <c r="L1762" s="45"/>
      <c r="M1762" s="45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  <c r="AB1762" s="26"/>
      <c r="AC1762" s="26"/>
      <c r="AD1762" s="26"/>
      <c r="AE1762" s="26"/>
      <c r="AF1762" s="26"/>
      <c r="AG1762" s="26"/>
      <c r="AH1762" s="26"/>
      <c r="AI1762" s="26"/>
      <c r="AJ1762" s="26"/>
      <c r="AK1762" s="2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46"/>
      <c r="BM1762" s="46"/>
      <c r="BN1762" s="46"/>
      <c r="BO1762" s="46"/>
    </row>
    <row r="1763">
      <c r="A1763" s="16" t="str">
        <f t="shared" si="14"/>
        <v/>
      </c>
      <c r="B1763" s="16" t="str">
        <f t="shared" si="15"/>
        <v/>
      </c>
      <c r="C1763" s="35" t="str">
        <f t="shared" si="16"/>
        <v/>
      </c>
      <c r="D1763" s="35" t="str">
        <f t="shared" si="17"/>
        <v/>
      </c>
      <c r="E1763" s="35" t="str">
        <f t="shared" si="18"/>
        <v/>
      </c>
      <c r="F1763" s="35" t="str">
        <f t="shared" si="19"/>
        <v/>
      </c>
      <c r="G1763" s="35" t="str">
        <f t="shared" si="20"/>
        <v/>
      </c>
      <c r="H1763" s="49"/>
      <c r="I1763" s="47" t="str">
        <f t="shared" si="21"/>
        <v/>
      </c>
      <c r="J1763" s="50"/>
      <c r="K1763" s="45" t="b">
        <v>0</v>
      </c>
      <c r="L1763" s="45"/>
      <c r="M1763" s="45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  <c r="AB1763" s="26"/>
      <c r="AC1763" s="26"/>
      <c r="AD1763" s="26"/>
      <c r="AE1763" s="26"/>
      <c r="AF1763" s="26"/>
      <c r="AG1763" s="26"/>
      <c r="AH1763" s="26"/>
      <c r="AI1763" s="26"/>
      <c r="AJ1763" s="26"/>
      <c r="AK1763" s="2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</row>
    <row r="1764">
      <c r="A1764" s="16" t="str">
        <f t="shared" si="14"/>
        <v/>
      </c>
      <c r="B1764" s="16" t="str">
        <f t="shared" si="15"/>
        <v/>
      </c>
      <c r="C1764" s="35" t="str">
        <f t="shared" si="16"/>
        <v/>
      </c>
      <c r="D1764" s="35" t="str">
        <f t="shared" si="17"/>
        <v/>
      </c>
      <c r="E1764" s="35" t="str">
        <f t="shared" si="18"/>
        <v/>
      </c>
      <c r="F1764" s="35" t="str">
        <f t="shared" si="19"/>
        <v/>
      </c>
      <c r="G1764" s="35" t="str">
        <f t="shared" si="20"/>
        <v/>
      </c>
      <c r="H1764" s="49"/>
      <c r="I1764" s="47" t="str">
        <f t="shared" si="21"/>
        <v/>
      </c>
      <c r="J1764" s="50"/>
      <c r="K1764" s="45" t="b">
        <v>0</v>
      </c>
      <c r="L1764" s="45"/>
      <c r="M1764" s="45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  <c r="AB1764" s="26"/>
      <c r="AC1764" s="26"/>
      <c r="AD1764" s="26"/>
      <c r="AE1764" s="26"/>
      <c r="AF1764" s="26"/>
      <c r="AG1764" s="26"/>
      <c r="AH1764" s="26"/>
      <c r="AI1764" s="26"/>
      <c r="AJ1764" s="26"/>
      <c r="AK1764" s="2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</row>
    <row r="1765">
      <c r="A1765" s="16" t="str">
        <f t="shared" si="14"/>
        <v/>
      </c>
      <c r="B1765" s="16" t="str">
        <f t="shared" si="15"/>
        <v/>
      </c>
      <c r="C1765" s="35" t="str">
        <f t="shared" si="16"/>
        <v/>
      </c>
      <c r="D1765" s="35" t="str">
        <f t="shared" si="17"/>
        <v/>
      </c>
      <c r="E1765" s="35" t="str">
        <f t="shared" si="18"/>
        <v/>
      </c>
      <c r="F1765" s="35" t="str">
        <f t="shared" si="19"/>
        <v/>
      </c>
      <c r="G1765" s="35" t="str">
        <f t="shared" si="20"/>
        <v/>
      </c>
      <c r="H1765" s="49"/>
      <c r="I1765" s="47" t="str">
        <f t="shared" si="21"/>
        <v/>
      </c>
      <c r="J1765" s="50"/>
      <c r="K1765" s="45" t="b">
        <v>0</v>
      </c>
      <c r="L1765" s="45"/>
      <c r="M1765" s="45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  <c r="AB1765" s="26"/>
      <c r="AC1765" s="26"/>
      <c r="AD1765" s="26"/>
      <c r="AE1765" s="26"/>
      <c r="AF1765" s="26"/>
      <c r="AG1765" s="26"/>
      <c r="AH1765" s="26"/>
      <c r="AI1765" s="26"/>
      <c r="AJ1765" s="26"/>
      <c r="AK1765" s="2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</row>
    <row r="1766">
      <c r="A1766" s="16" t="str">
        <f t="shared" si="14"/>
        <v/>
      </c>
      <c r="B1766" s="16" t="str">
        <f t="shared" si="15"/>
        <v/>
      </c>
      <c r="C1766" s="35" t="str">
        <f t="shared" si="16"/>
        <v/>
      </c>
      <c r="D1766" s="35" t="str">
        <f t="shared" si="17"/>
        <v/>
      </c>
      <c r="E1766" s="35" t="str">
        <f t="shared" si="18"/>
        <v/>
      </c>
      <c r="F1766" s="35" t="str">
        <f t="shared" si="19"/>
        <v/>
      </c>
      <c r="G1766" s="35" t="str">
        <f t="shared" si="20"/>
        <v/>
      </c>
      <c r="H1766" s="49"/>
      <c r="I1766" s="47" t="str">
        <f t="shared" si="21"/>
        <v/>
      </c>
      <c r="J1766" s="50"/>
      <c r="K1766" s="45" t="b">
        <v>0</v>
      </c>
      <c r="L1766" s="45"/>
      <c r="M1766" s="45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  <c r="AB1766" s="26"/>
      <c r="AC1766" s="26"/>
      <c r="AD1766" s="26"/>
      <c r="AE1766" s="26"/>
      <c r="AF1766" s="26"/>
      <c r="AG1766" s="26"/>
      <c r="AH1766" s="26"/>
      <c r="AI1766" s="26"/>
      <c r="AJ1766" s="26"/>
      <c r="AK1766" s="2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</row>
    <row r="1767">
      <c r="A1767" s="16" t="str">
        <f t="shared" si="14"/>
        <v/>
      </c>
      <c r="B1767" s="16" t="str">
        <f t="shared" si="15"/>
        <v/>
      </c>
      <c r="C1767" s="35" t="str">
        <f t="shared" si="16"/>
        <v/>
      </c>
      <c r="D1767" s="35" t="str">
        <f t="shared" si="17"/>
        <v/>
      </c>
      <c r="E1767" s="35" t="str">
        <f t="shared" si="18"/>
        <v/>
      </c>
      <c r="F1767" s="35" t="str">
        <f t="shared" si="19"/>
        <v/>
      </c>
      <c r="G1767" s="35" t="str">
        <f t="shared" si="20"/>
        <v/>
      </c>
      <c r="H1767" s="49"/>
      <c r="I1767" s="47" t="str">
        <f t="shared" si="21"/>
        <v/>
      </c>
      <c r="J1767" s="50"/>
      <c r="K1767" s="45" t="b">
        <v>0</v>
      </c>
      <c r="L1767" s="45"/>
      <c r="M1767" s="45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  <c r="AB1767" s="26"/>
      <c r="AC1767" s="26"/>
      <c r="AD1767" s="26"/>
      <c r="AE1767" s="26"/>
      <c r="AF1767" s="26"/>
      <c r="AG1767" s="26"/>
      <c r="AH1767" s="26"/>
      <c r="AI1767" s="26"/>
      <c r="AJ1767" s="26"/>
      <c r="AK1767" s="2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</row>
    <row r="1768">
      <c r="A1768" s="16" t="str">
        <f t="shared" si="14"/>
        <v/>
      </c>
      <c r="B1768" s="16" t="str">
        <f t="shared" si="15"/>
        <v/>
      </c>
      <c r="C1768" s="35" t="str">
        <f t="shared" si="16"/>
        <v/>
      </c>
      <c r="D1768" s="35" t="str">
        <f t="shared" si="17"/>
        <v/>
      </c>
      <c r="E1768" s="35" t="str">
        <f t="shared" si="18"/>
        <v/>
      </c>
      <c r="F1768" s="35" t="str">
        <f t="shared" si="19"/>
        <v/>
      </c>
      <c r="G1768" s="35" t="str">
        <f t="shared" si="20"/>
        <v/>
      </c>
      <c r="H1768" s="49"/>
      <c r="I1768" s="47" t="str">
        <f t="shared" si="21"/>
        <v/>
      </c>
      <c r="J1768" s="50"/>
      <c r="K1768" s="45" t="b">
        <v>0</v>
      </c>
      <c r="L1768" s="45"/>
      <c r="M1768" s="45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  <c r="AB1768" s="26"/>
      <c r="AC1768" s="26"/>
      <c r="AD1768" s="26"/>
      <c r="AE1768" s="26"/>
      <c r="AF1768" s="26"/>
      <c r="AG1768" s="26"/>
      <c r="AH1768" s="26"/>
      <c r="AI1768" s="26"/>
      <c r="AJ1768" s="26"/>
      <c r="AK1768" s="2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</row>
    <row r="1769">
      <c r="A1769" s="16" t="str">
        <f t="shared" si="14"/>
        <v/>
      </c>
      <c r="B1769" s="16" t="str">
        <f t="shared" si="15"/>
        <v/>
      </c>
      <c r="C1769" s="35" t="str">
        <f t="shared" si="16"/>
        <v/>
      </c>
      <c r="D1769" s="35" t="str">
        <f t="shared" si="17"/>
        <v/>
      </c>
      <c r="E1769" s="35" t="str">
        <f t="shared" si="18"/>
        <v/>
      </c>
      <c r="F1769" s="35" t="str">
        <f t="shared" si="19"/>
        <v/>
      </c>
      <c r="G1769" s="35" t="str">
        <f t="shared" si="20"/>
        <v/>
      </c>
      <c r="H1769" s="49"/>
      <c r="I1769" s="47" t="str">
        <f t="shared" si="21"/>
        <v/>
      </c>
      <c r="J1769" s="50"/>
      <c r="K1769" s="45" t="b">
        <v>0</v>
      </c>
      <c r="L1769" s="45"/>
      <c r="M1769" s="45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  <c r="AB1769" s="26"/>
      <c r="AC1769" s="26"/>
      <c r="AD1769" s="26"/>
      <c r="AE1769" s="26"/>
      <c r="AF1769" s="26"/>
      <c r="AG1769" s="26"/>
      <c r="AH1769" s="26"/>
      <c r="AI1769" s="26"/>
      <c r="AJ1769" s="26"/>
      <c r="AK1769" s="2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</row>
    <row r="1770">
      <c r="A1770" s="16" t="str">
        <f t="shared" si="14"/>
        <v/>
      </c>
      <c r="B1770" s="16" t="str">
        <f t="shared" si="15"/>
        <v/>
      </c>
      <c r="C1770" s="35" t="str">
        <f t="shared" si="16"/>
        <v/>
      </c>
      <c r="D1770" s="35" t="str">
        <f t="shared" si="17"/>
        <v/>
      </c>
      <c r="E1770" s="35" t="str">
        <f t="shared" si="18"/>
        <v/>
      </c>
      <c r="F1770" s="35" t="str">
        <f t="shared" si="19"/>
        <v/>
      </c>
      <c r="G1770" s="35" t="str">
        <f t="shared" si="20"/>
        <v/>
      </c>
      <c r="H1770" s="49"/>
      <c r="I1770" s="47" t="str">
        <f t="shared" si="21"/>
        <v/>
      </c>
      <c r="J1770" s="50"/>
      <c r="K1770" s="45" t="b">
        <v>0</v>
      </c>
      <c r="L1770" s="45"/>
      <c r="M1770" s="45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  <c r="AB1770" s="26"/>
      <c r="AC1770" s="26"/>
      <c r="AD1770" s="26"/>
      <c r="AE1770" s="26"/>
      <c r="AF1770" s="26"/>
      <c r="AG1770" s="26"/>
      <c r="AH1770" s="26"/>
      <c r="AI1770" s="26"/>
      <c r="AJ1770" s="26"/>
      <c r="AK1770" s="2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</row>
    <row r="1771">
      <c r="A1771" s="16" t="str">
        <f t="shared" si="14"/>
        <v/>
      </c>
      <c r="B1771" s="16" t="str">
        <f t="shared" si="15"/>
        <v/>
      </c>
      <c r="C1771" s="35" t="str">
        <f t="shared" si="16"/>
        <v/>
      </c>
      <c r="D1771" s="35" t="str">
        <f t="shared" si="17"/>
        <v/>
      </c>
      <c r="E1771" s="35" t="str">
        <f t="shared" si="18"/>
        <v/>
      </c>
      <c r="F1771" s="35" t="str">
        <f t="shared" si="19"/>
        <v/>
      </c>
      <c r="G1771" s="35" t="str">
        <f t="shared" si="20"/>
        <v/>
      </c>
      <c r="H1771" s="49"/>
      <c r="I1771" s="47" t="str">
        <f t="shared" si="21"/>
        <v/>
      </c>
      <c r="J1771" s="50"/>
      <c r="K1771" s="45" t="b">
        <v>0</v>
      </c>
      <c r="L1771" s="45"/>
      <c r="M1771" s="45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  <c r="AB1771" s="26"/>
      <c r="AC1771" s="26"/>
      <c r="AD1771" s="26"/>
      <c r="AE1771" s="26"/>
      <c r="AF1771" s="26"/>
      <c r="AG1771" s="26"/>
      <c r="AH1771" s="26"/>
      <c r="AI1771" s="26"/>
      <c r="AJ1771" s="26"/>
      <c r="AK1771" s="2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46"/>
      <c r="BM1771" s="46"/>
      <c r="BN1771" s="46"/>
      <c r="BO1771" s="46"/>
    </row>
    <row r="1772">
      <c r="A1772" s="16" t="str">
        <f t="shared" si="14"/>
        <v/>
      </c>
      <c r="B1772" s="16" t="str">
        <f t="shared" si="15"/>
        <v/>
      </c>
      <c r="C1772" s="35" t="str">
        <f t="shared" si="16"/>
        <v/>
      </c>
      <c r="D1772" s="35" t="str">
        <f t="shared" si="17"/>
        <v/>
      </c>
      <c r="E1772" s="35" t="str">
        <f t="shared" si="18"/>
        <v/>
      </c>
      <c r="F1772" s="35" t="str">
        <f t="shared" si="19"/>
        <v/>
      </c>
      <c r="G1772" s="35" t="str">
        <f t="shared" si="20"/>
        <v/>
      </c>
      <c r="H1772" s="49"/>
      <c r="I1772" s="47" t="str">
        <f t="shared" si="21"/>
        <v/>
      </c>
      <c r="J1772" s="50"/>
      <c r="K1772" s="45" t="b">
        <v>0</v>
      </c>
      <c r="L1772" s="45"/>
      <c r="M1772" s="45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  <c r="AC1772" s="26"/>
      <c r="AD1772" s="26"/>
      <c r="AE1772" s="26"/>
      <c r="AF1772" s="26"/>
      <c r="AG1772" s="26"/>
      <c r="AH1772" s="26"/>
      <c r="AI1772" s="26"/>
      <c r="AJ1772" s="26"/>
      <c r="AK1772" s="2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46"/>
      <c r="BM1772" s="46"/>
      <c r="BN1772" s="46"/>
      <c r="BO1772" s="46"/>
    </row>
    <row r="1773">
      <c r="A1773" s="16" t="str">
        <f t="shared" si="14"/>
        <v/>
      </c>
      <c r="B1773" s="16" t="str">
        <f t="shared" si="15"/>
        <v/>
      </c>
      <c r="C1773" s="35" t="str">
        <f t="shared" si="16"/>
        <v/>
      </c>
      <c r="D1773" s="35" t="str">
        <f t="shared" si="17"/>
        <v/>
      </c>
      <c r="E1773" s="35" t="str">
        <f t="shared" si="18"/>
        <v/>
      </c>
      <c r="F1773" s="35" t="str">
        <f t="shared" si="19"/>
        <v/>
      </c>
      <c r="G1773" s="35" t="str">
        <f t="shared" si="20"/>
        <v/>
      </c>
      <c r="H1773" s="49"/>
      <c r="I1773" s="47" t="str">
        <f t="shared" si="21"/>
        <v/>
      </c>
      <c r="J1773" s="50"/>
      <c r="K1773" s="45" t="b">
        <v>0</v>
      </c>
      <c r="L1773" s="45"/>
      <c r="M1773" s="45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  <c r="AC1773" s="26"/>
      <c r="AD1773" s="26"/>
      <c r="AE1773" s="26"/>
      <c r="AF1773" s="26"/>
      <c r="AG1773" s="26"/>
      <c r="AH1773" s="26"/>
      <c r="AI1773" s="26"/>
      <c r="AJ1773" s="26"/>
      <c r="AK1773" s="2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46"/>
      <c r="BM1773" s="46"/>
      <c r="BN1773" s="46"/>
      <c r="BO1773" s="46"/>
    </row>
    <row r="1774">
      <c r="A1774" s="16" t="str">
        <f t="shared" si="14"/>
        <v/>
      </c>
      <c r="B1774" s="16" t="str">
        <f t="shared" si="15"/>
        <v/>
      </c>
      <c r="C1774" s="35" t="str">
        <f t="shared" si="16"/>
        <v/>
      </c>
      <c r="D1774" s="35" t="str">
        <f t="shared" si="17"/>
        <v/>
      </c>
      <c r="E1774" s="35" t="str">
        <f t="shared" si="18"/>
        <v/>
      </c>
      <c r="F1774" s="35" t="str">
        <f t="shared" si="19"/>
        <v/>
      </c>
      <c r="G1774" s="35" t="str">
        <f t="shared" si="20"/>
        <v/>
      </c>
      <c r="H1774" s="49"/>
      <c r="I1774" s="47" t="str">
        <f t="shared" si="21"/>
        <v/>
      </c>
      <c r="J1774" s="50"/>
      <c r="K1774" s="45" t="b">
        <v>0</v>
      </c>
      <c r="L1774" s="45"/>
      <c r="M1774" s="45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  <c r="AC1774" s="26"/>
      <c r="AD1774" s="26"/>
      <c r="AE1774" s="26"/>
      <c r="AF1774" s="26"/>
      <c r="AG1774" s="26"/>
      <c r="AH1774" s="26"/>
      <c r="AI1774" s="26"/>
      <c r="AJ1774" s="26"/>
      <c r="AK1774" s="2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46"/>
      <c r="BM1774" s="46"/>
      <c r="BN1774" s="46"/>
      <c r="BO1774" s="46"/>
    </row>
    <row r="1775">
      <c r="A1775" s="16" t="str">
        <f t="shared" si="14"/>
        <v/>
      </c>
      <c r="B1775" s="16" t="str">
        <f t="shared" si="15"/>
        <v/>
      </c>
      <c r="C1775" s="35" t="str">
        <f t="shared" si="16"/>
        <v/>
      </c>
      <c r="D1775" s="35" t="str">
        <f t="shared" si="17"/>
        <v/>
      </c>
      <c r="E1775" s="35" t="str">
        <f t="shared" si="18"/>
        <v/>
      </c>
      <c r="F1775" s="35" t="str">
        <f t="shared" si="19"/>
        <v/>
      </c>
      <c r="G1775" s="35" t="str">
        <f t="shared" si="20"/>
        <v/>
      </c>
      <c r="H1775" s="49"/>
      <c r="I1775" s="47" t="str">
        <f t="shared" si="21"/>
        <v/>
      </c>
      <c r="J1775" s="50"/>
      <c r="K1775" s="45" t="b">
        <v>0</v>
      </c>
      <c r="L1775" s="45"/>
      <c r="M1775" s="45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  <c r="AC1775" s="26"/>
      <c r="AD1775" s="26"/>
      <c r="AE1775" s="26"/>
      <c r="AF1775" s="26"/>
      <c r="AG1775" s="26"/>
      <c r="AH1775" s="26"/>
      <c r="AI1775" s="26"/>
      <c r="AJ1775" s="26"/>
      <c r="AK1775" s="2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46"/>
      <c r="BM1775" s="46"/>
      <c r="BN1775" s="46"/>
      <c r="BO1775" s="46"/>
    </row>
    <row r="1776">
      <c r="A1776" s="16" t="str">
        <f t="shared" si="14"/>
        <v/>
      </c>
      <c r="B1776" s="16" t="str">
        <f t="shared" si="15"/>
        <v/>
      </c>
      <c r="C1776" s="35" t="str">
        <f t="shared" si="16"/>
        <v/>
      </c>
      <c r="D1776" s="35" t="str">
        <f t="shared" si="17"/>
        <v/>
      </c>
      <c r="E1776" s="35" t="str">
        <f t="shared" si="18"/>
        <v/>
      </c>
      <c r="F1776" s="35" t="str">
        <f t="shared" si="19"/>
        <v/>
      </c>
      <c r="G1776" s="35" t="str">
        <f t="shared" si="20"/>
        <v/>
      </c>
      <c r="H1776" s="49"/>
      <c r="I1776" s="47" t="str">
        <f t="shared" si="21"/>
        <v/>
      </c>
      <c r="J1776" s="50"/>
      <c r="K1776" s="45" t="b">
        <v>0</v>
      </c>
      <c r="L1776" s="45"/>
      <c r="M1776" s="45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  <c r="AC1776" s="26"/>
      <c r="AD1776" s="26"/>
      <c r="AE1776" s="26"/>
      <c r="AF1776" s="26"/>
      <c r="AG1776" s="26"/>
      <c r="AH1776" s="26"/>
      <c r="AI1776" s="26"/>
      <c r="AJ1776" s="26"/>
      <c r="AK1776" s="2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46"/>
      <c r="BM1776" s="46"/>
      <c r="BN1776" s="46"/>
      <c r="BO1776" s="46"/>
    </row>
    <row r="1777">
      <c r="A1777" s="16" t="str">
        <f t="shared" si="14"/>
        <v/>
      </c>
      <c r="B1777" s="16" t="str">
        <f t="shared" si="15"/>
        <v/>
      </c>
      <c r="C1777" s="35" t="str">
        <f t="shared" si="16"/>
        <v/>
      </c>
      <c r="D1777" s="35" t="str">
        <f t="shared" si="17"/>
        <v/>
      </c>
      <c r="E1777" s="35" t="str">
        <f t="shared" si="18"/>
        <v/>
      </c>
      <c r="F1777" s="35" t="str">
        <f t="shared" si="19"/>
        <v/>
      </c>
      <c r="G1777" s="35" t="str">
        <f t="shared" si="20"/>
        <v/>
      </c>
      <c r="H1777" s="49"/>
      <c r="I1777" s="47" t="str">
        <f t="shared" si="21"/>
        <v/>
      </c>
      <c r="J1777" s="50"/>
      <c r="K1777" s="45" t="b">
        <v>0</v>
      </c>
      <c r="L1777" s="45"/>
      <c r="M1777" s="45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  <c r="AC1777" s="26"/>
      <c r="AD1777" s="26"/>
      <c r="AE1777" s="26"/>
      <c r="AF1777" s="26"/>
      <c r="AG1777" s="26"/>
      <c r="AH1777" s="26"/>
      <c r="AI1777" s="26"/>
      <c r="AJ1777" s="26"/>
      <c r="AK1777" s="2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46"/>
      <c r="BM1777" s="46"/>
      <c r="BN1777" s="46"/>
      <c r="BO1777" s="46"/>
    </row>
    <row r="1778">
      <c r="A1778" s="16" t="str">
        <f t="shared" si="14"/>
        <v/>
      </c>
      <c r="B1778" s="16" t="str">
        <f t="shared" si="15"/>
        <v/>
      </c>
      <c r="C1778" s="35" t="str">
        <f t="shared" si="16"/>
        <v/>
      </c>
      <c r="D1778" s="35" t="str">
        <f t="shared" si="17"/>
        <v/>
      </c>
      <c r="E1778" s="35" t="str">
        <f t="shared" si="18"/>
        <v/>
      </c>
      <c r="F1778" s="35" t="str">
        <f t="shared" si="19"/>
        <v/>
      </c>
      <c r="G1778" s="35" t="str">
        <f t="shared" si="20"/>
        <v/>
      </c>
      <c r="H1778" s="49"/>
      <c r="I1778" s="47" t="str">
        <f t="shared" si="21"/>
        <v/>
      </c>
      <c r="J1778" s="50"/>
      <c r="K1778" s="45" t="b">
        <v>0</v>
      </c>
      <c r="L1778" s="45"/>
      <c r="M1778" s="45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  <c r="AC1778" s="26"/>
      <c r="AD1778" s="26"/>
      <c r="AE1778" s="26"/>
      <c r="AF1778" s="26"/>
      <c r="AG1778" s="26"/>
      <c r="AH1778" s="26"/>
      <c r="AI1778" s="26"/>
      <c r="AJ1778" s="26"/>
      <c r="AK1778" s="2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46"/>
      <c r="BM1778" s="46"/>
      <c r="BN1778" s="46"/>
      <c r="BO1778" s="46"/>
    </row>
    <row r="1779">
      <c r="A1779" s="16" t="str">
        <f t="shared" si="14"/>
        <v/>
      </c>
      <c r="B1779" s="16" t="str">
        <f t="shared" si="15"/>
        <v/>
      </c>
      <c r="C1779" s="35" t="str">
        <f t="shared" si="16"/>
        <v/>
      </c>
      <c r="D1779" s="35" t="str">
        <f t="shared" si="17"/>
        <v/>
      </c>
      <c r="E1779" s="35" t="str">
        <f t="shared" si="18"/>
        <v/>
      </c>
      <c r="F1779" s="35" t="str">
        <f t="shared" si="19"/>
        <v/>
      </c>
      <c r="G1779" s="35" t="str">
        <f t="shared" si="20"/>
        <v/>
      </c>
      <c r="H1779" s="49"/>
      <c r="I1779" s="47" t="str">
        <f t="shared" si="21"/>
        <v/>
      </c>
      <c r="J1779" s="50"/>
      <c r="K1779" s="45" t="b">
        <v>0</v>
      </c>
      <c r="L1779" s="45"/>
      <c r="M1779" s="45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  <c r="AC1779" s="26"/>
      <c r="AD1779" s="26"/>
      <c r="AE1779" s="26"/>
      <c r="AF1779" s="26"/>
      <c r="AG1779" s="26"/>
      <c r="AH1779" s="26"/>
      <c r="AI1779" s="26"/>
      <c r="AJ1779" s="26"/>
      <c r="AK1779" s="2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46"/>
      <c r="BM1779" s="46"/>
      <c r="BN1779" s="46"/>
      <c r="BO1779" s="46"/>
    </row>
    <row r="1780">
      <c r="A1780" s="16" t="str">
        <f t="shared" si="14"/>
        <v/>
      </c>
      <c r="B1780" s="16" t="str">
        <f t="shared" si="15"/>
        <v/>
      </c>
      <c r="C1780" s="35" t="str">
        <f t="shared" si="16"/>
        <v/>
      </c>
      <c r="D1780" s="35" t="str">
        <f t="shared" si="17"/>
        <v/>
      </c>
      <c r="E1780" s="35" t="str">
        <f t="shared" si="18"/>
        <v/>
      </c>
      <c r="F1780" s="35" t="str">
        <f t="shared" si="19"/>
        <v/>
      </c>
      <c r="G1780" s="35" t="str">
        <f t="shared" si="20"/>
        <v/>
      </c>
      <c r="H1780" s="49"/>
      <c r="I1780" s="47" t="str">
        <f t="shared" si="21"/>
        <v/>
      </c>
      <c r="J1780" s="50"/>
      <c r="K1780" s="45" t="b">
        <v>0</v>
      </c>
      <c r="L1780" s="45"/>
      <c r="M1780" s="45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  <c r="AC1780" s="26"/>
      <c r="AD1780" s="26"/>
      <c r="AE1780" s="26"/>
      <c r="AF1780" s="26"/>
      <c r="AG1780" s="26"/>
      <c r="AH1780" s="26"/>
      <c r="AI1780" s="26"/>
      <c r="AJ1780" s="26"/>
      <c r="AK1780" s="2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46"/>
      <c r="BM1780" s="46"/>
      <c r="BN1780" s="46"/>
      <c r="BO1780" s="46"/>
    </row>
    <row r="1781">
      <c r="A1781" s="16" t="str">
        <f t="shared" si="14"/>
        <v/>
      </c>
      <c r="B1781" s="16" t="str">
        <f t="shared" si="15"/>
        <v/>
      </c>
      <c r="C1781" s="35" t="str">
        <f t="shared" si="16"/>
        <v/>
      </c>
      <c r="D1781" s="35" t="str">
        <f t="shared" si="17"/>
        <v/>
      </c>
      <c r="E1781" s="35" t="str">
        <f t="shared" si="18"/>
        <v/>
      </c>
      <c r="F1781" s="35" t="str">
        <f t="shared" si="19"/>
        <v/>
      </c>
      <c r="G1781" s="35" t="str">
        <f t="shared" si="20"/>
        <v/>
      </c>
      <c r="H1781" s="49"/>
      <c r="I1781" s="47" t="str">
        <f t="shared" si="21"/>
        <v/>
      </c>
      <c r="J1781" s="50"/>
      <c r="K1781" s="45" t="b">
        <v>0</v>
      </c>
      <c r="L1781" s="45"/>
      <c r="M1781" s="45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46"/>
      <c r="BM1781" s="46"/>
      <c r="BN1781" s="46"/>
      <c r="BO1781" s="46"/>
    </row>
    <row r="1782">
      <c r="A1782" s="16" t="str">
        <f t="shared" si="14"/>
        <v/>
      </c>
      <c r="B1782" s="16" t="str">
        <f t="shared" si="15"/>
        <v/>
      </c>
      <c r="C1782" s="35" t="str">
        <f t="shared" si="16"/>
        <v/>
      </c>
      <c r="D1782" s="35" t="str">
        <f t="shared" si="17"/>
        <v/>
      </c>
      <c r="E1782" s="35" t="str">
        <f t="shared" si="18"/>
        <v/>
      </c>
      <c r="F1782" s="35" t="str">
        <f t="shared" si="19"/>
        <v/>
      </c>
      <c r="G1782" s="35" t="str">
        <f t="shared" si="20"/>
        <v/>
      </c>
      <c r="H1782" s="49"/>
      <c r="I1782" s="47" t="str">
        <f t="shared" si="21"/>
        <v/>
      </c>
      <c r="J1782" s="50"/>
      <c r="K1782" s="45" t="b">
        <v>0</v>
      </c>
      <c r="L1782" s="45"/>
      <c r="M1782" s="45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  <c r="AB1782" s="26"/>
      <c r="AC1782" s="26"/>
      <c r="AD1782" s="26"/>
      <c r="AE1782" s="26"/>
      <c r="AF1782" s="26"/>
      <c r="AG1782" s="26"/>
      <c r="AH1782" s="26"/>
      <c r="AI1782" s="26"/>
      <c r="AJ1782" s="26"/>
      <c r="AK1782" s="2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/>
    </row>
    <row r="1783">
      <c r="A1783" s="16" t="str">
        <f t="shared" si="14"/>
        <v/>
      </c>
      <c r="B1783" s="16" t="str">
        <f t="shared" si="15"/>
        <v/>
      </c>
      <c r="C1783" s="35" t="str">
        <f t="shared" si="16"/>
        <v/>
      </c>
      <c r="D1783" s="35" t="str">
        <f t="shared" si="17"/>
        <v/>
      </c>
      <c r="E1783" s="35" t="str">
        <f t="shared" si="18"/>
        <v/>
      </c>
      <c r="F1783" s="35" t="str">
        <f t="shared" si="19"/>
        <v/>
      </c>
      <c r="G1783" s="35" t="str">
        <f t="shared" si="20"/>
        <v/>
      </c>
      <c r="H1783" s="49"/>
      <c r="I1783" s="47" t="str">
        <f t="shared" si="21"/>
        <v/>
      </c>
      <c r="J1783" s="50"/>
      <c r="K1783" s="45" t="b">
        <v>0</v>
      </c>
      <c r="L1783" s="45"/>
      <c r="M1783" s="45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  <c r="AB1783" s="26"/>
      <c r="AC1783" s="26"/>
      <c r="AD1783" s="26"/>
      <c r="AE1783" s="26"/>
      <c r="AF1783" s="26"/>
      <c r="AG1783" s="26"/>
      <c r="AH1783" s="26"/>
      <c r="AI1783" s="26"/>
      <c r="AJ1783" s="26"/>
      <c r="AK1783" s="2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</row>
    <row r="1784">
      <c r="A1784" s="16" t="str">
        <f t="shared" si="14"/>
        <v/>
      </c>
      <c r="B1784" s="16" t="str">
        <f t="shared" si="15"/>
        <v/>
      </c>
      <c r="C1784" s="35" t="str">
        <f t="shared" si="16"/>
        <v/>
      </c>
      <c r="D1784" s="35" t="str">
        <f t="shared" si="17"/>
        <v/>
      </c>
      <c r="E1784" s="35" t="str">
        <f t="shared" si="18"/>
        <v/>
      </c>
      <c r="F1784" s="35" t="str">
        <f t="shared" si="19"/>
        <v/>
      </c>
      <c r="G1784" s="35" t="str">
        <f t="shared" si="20"/>
        <v/>
      </c>
      <c r="H1784" s="49"/>
      <c r="I1784" s="47" t="str">
        <f t="shared" si="21"/>
        <v/>
      </c>
      <c r="J1784" s="50"/>
      <c r="K1784" s="45" t="b">
        <v>0</v>
      </c>
      <c r="L1784" s="45"/>
      <c r="M1784" s="45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  <c r="AB1784" s="26"/>
      <c r="AC1784" s="26"/>
      <c r="AD1784" s="26"/>
      <c r="AE1784" s="26"/>
      <c r="AF1784" s="26"/>
      <c r="AG1784" s="26"/>
      <c r="AH1784" s="26"/>
      <c r="AI1784" s="26"/>
      <c r="AJ1784" s="26"/>
      <c r="AK1784" s="2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</row>
    <row r="1785">
      <c r="A1785" s="16" t="str">
        <f t="shared" si="14"/>
        <v/>
      </c>
      <c r="B1785" s="16" t="str">
        <f t="shared" si="15"/>
        <v/>
      </c>
      <c r="C1785" s="35" t="str">
        <f t="shared" si="16"/>
        <v/>
      </c>
      <c r="D1785" s="35" t="str">
        <f t="shared" si="17"/>
        <v/>
      </c>
      <c r="E1785" s="35" t="str">
        <f t="shared" si="18"/>
        <v/>
      </c>
      <c r="F1785" s="35" t="str">
        <f t="shared" si="19"/>
        <v/>
      </c>
      <c r="G1785" s="35" t="str">
        <f t="shared" si="20"/>
        <v/>
      </c>
      <c r="H1785" s="49"/>
      <c r="I1785" s="47" t="str">
        <f t="shared" si="21"/>
        <v/>
      </c>
      <c r="J1785" s="50"/>
      <c r="K1785" s="45" t="b">
        <v>0</v>
      </c>
      <c r="L1785" s="45"/>
      <c r="M1785" s="45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  <c r="AB1785" s="26"/>
      <c r="AC1785" s="26"/>
      <c r="AD1785" s="26"/>
      <c r="AE1785" s="26"/>
      <c r="AF1785" s="26"/>
      <c r="AG1785" s="26"/>
      <c r="AH1785" s="26"/>
      <c r="AI1785" s="26"/>
      <c r="AJ1785" s="26"/>
      <c r="AK1785" s="2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</row>
    <row r="1786">
      <c r="A1786" s="16" t="str">
        <f t="shared" si="14"/>
        <v/>
      </c>
      <c r="B1786" s="16" t="str">
        <f t="shared" si="15"/>
        <v/>
      </c>
      <c r="C1786" s="35" t="str">
        <f t="shared" si="16"/>
        <v/>
      </c>
      <c r="D1786" s="35" t="str">
        <f t="shared" si="17"/>
        <v/>
      </c>
      <c r="E1786" s="35" t="str">
        <f t="shared" si="18"/>
        <v/>
      </c>
      <c r="F1786" s="35" t="str">
        <f t="shared" si="19"/>
        <v/>
      </c>
      <c r="G1786" s="35" t="str">
        <f t="shared" si="20"/>
        <v/>
      </c>
      <c r="H1786" s="49"/>
      <c r="I1786" s="47" t="str">
        <f t="shared" si="21"/>
        <v/>
      </c>
      <c r="J1786" s="50"/>
      <c r="K1786" s="45" t="b">
        <v>0</v>
      </c>
      <c r="L1786" s="45"/>
      <c r="M1786" s="45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  <c r="AB1786" s="26"/>
      <c r="AC1786" s="26"/>
      <c r="AD1786" s="26"/>
      <c r="AE1786" s="26"/>
      <c r="AF1786" s="26"/>
      <c r="AG1786" s="26"/>
      <c r="AH1786" s="26"/>
      <c r="AI1786" s="26"/>
      <c r="AJ1786" s="26"/>
      <c r="AK1786" s="2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</row>
    <row r="1787">
      <c r="A1787" s="16" t="str">
        <f t="shared" si="14"/>
        <v/>
      </c>
      <c r="B1787" s="16" t="str">
        <f t="shared" si="15"/>
        <v/>
      </c>
      <c r="C1787" s="35" t="str">
        <f t="shared" si="16"/>
        <v/>
      </c>
      <c r="D1787" s="35" t="str">
        <f t="shared" si="17"/>
        <v/>
      </c>
      <c r="E1787" s="35" t="str">
        <f t="shared" si="18"/>
        <v/>
      </c>
      <c r="F1787" s="35" t="str">
        <f t="shared" si="19"/>
        <v/>
      </c>
      <c r="G1787" s="35" t="str">
        <f t="shared" si="20"/>
        <v/>
      </c>
      <c r="H1787" s="49"/>
      <c r="I1787" s="47" t="str">
        <f t="shared" si="21"/>
        <v/>
      </c>
      <c r="J1787" s="50"/>
      <c r="K1787" s="45" t="b">
        <v>0</v>
      </c>
      <c r="L1787" s="45"/>
      <c r="M1787" s="45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  <c r="AB1787" s="26"/>
      <c r="AC1787" s="26"/>
      <c r="AD1787" s="26"/>
      <c r="AE1787" s="26"/>
      <c r="AF1787" s="26"/>
      <c r="AG1787" s="26"/>
      <c r="AH1787" s="26"/>
      <c r="AI1787" s="26"/>
      <c r="AJ1787" s="26"/>
      <c r="AK1787" s="2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</row>
    <row r="1788">
      <c r="A1788" s="16" t="str">
        <f t="shared" si="14"/>
        <v/>
      </c>
      <c r="B1788" s="16" t="str">
        <f t="shared" si="15"/>
        <v/>
      </c>
      <c r="C1788" s="35" t="str">
        <f t="shared" si="16"/>
        <v/>
      </c>
      <c r="D1788" s="35" t="str">
        <f t="shared" si="17"/>
        <v/>
      </c>
      <c r="E1788" s="35" t="str">
        <f t="shared" si="18"/>
        <v/>
      </c>
      <c r="F1788" s="35" t="str">
        <f t="shared" si="19"/>
        <v/>
      </c>
      <c r="G1788" s="35" t="str">
        <f t="shared" si="20"/>
        <v/>
      </c>
      <c r="H1788" s="49"/>
      <c r="I1788" s="47" t="str">
        <f t="shared" si="21"/>
        <v/>
      </c>
      <c r="J1788" s="50"/>
      <c r="K1788" s="45" t="b">
        <v>0</v>
      </c>
      <c r="L1788" s="45"/>
      <c r="M1788" s="45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6"/>
      <c r="AD1788" s="26"/>
      <c r="AE1788" s="26"/>
      <c r="AF1788" s="26"/>
      <c r="AG1788" s="26"/>
      <c r="AH1788" s="26"/>
      <c r="AI1788" s="26"/>
      <c r="AJ1788" s="26"/>
      <c r="AK1788" s="2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</row>
    <row r="1789">
      <c r="A1789" s="16" t="str">
        <f t="shared" si="14"/>
        <v/>
      </c>
      <c r="B1789" s="16" t="str">
        <f t="shared" si="15"/>
        <v/>
      </c>
      <c r="C1789" s="35" t="str">
        <f t="shared" si="16"/>
        <v/>
      </c>
      <c r="D1789" s="35" t="str">
        <f t="shared" si="17"/>
        <v/>
      </c>
      <c r="E1789" s="35" t="str">
        <f t="shared" si="18"/>
        <v/>
      </c>
      <c r="F1789" s="35" t="str">
        <f t="shared" si="19"/>
        <v/>
      </c>
      <c r="G1789" s="35" t="str">
        <f t="shared" si="20"/>
        <v/>
      </c>
      <c r="H1789" s="49"/>
      <c r="I1789" s="47" t="str">
        <f t="shared" si="21"/>
        <v/>
      </c>
      <c r="J1789" s="50"/>
      <c r="K1789" s="45" t="b">
        <v>0</v>
      </c>
      <c r="L1789" s="45"/>
      <c r="M1789" s="45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  <c r="AC1789" s="26"/>
      <c r="AD1789" s="26"/>
      <c r="AE1789" s="26"/>
      <c r="AF1789" s="26"/>
      <c r="AG1789" s="26"/>
      <c r="AH1789" s="26"/>
      <c r="AI1789" s="26"/>
      <c r="AJ1789" s="26"/>
      <c r="AK1789" s="2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</row>
    <row r="1790">
      <c r="A1790" s="16" t="str">
        <f t="shared" si="14"/>
        <v/>
      </c>
      <c r="B1790" s="16" t="str">
        <f t="shared" si="15"/>
        <v/>
      </c>
      <c r="C1790" s="35" t="str">
        <f t="shared" si="16"/>
        <v/>
      </c>
      <c r="D1790" s="35" t="str">
        <f t="shared" si="17"/>
        <v/>
      </c>
      <c r="E1790" s="35" t="str">
        <f t="shared" si="18"/>
        <v/>
      </c>
      <c r="F1790" s="35" t="str">
        <f t="shared" si="19"/>
        <v/>
      </c>
      <c r="G1790" s="35" t="str">
        <f t="shared" si="20"/>
        <v/>
      </c>
      <c r="H1790" s="49"/>
      <c r="I1790" s="47" t="str">
        <f t="shared" si="21"/>
        <v/>
      </c>
      <c r="J1790" s="50"/>
      <c r="K1790" s="45" t="b">
        <v>0</v>
      </c>
      <c r="L1790" s="45"/>
      <c r="M1790" s="45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  <c r="AC1790" s="26"/>
      <c r="AD1790" s="26"/>
      <c r="AE1790" s="26"/>
      <c r="AF1790" s="26"/>
      <c r="AG1790" s="26"/>
      <c r="AH1790" s="26"/>
      <c r="AI1790" s="26"/>
      <c r="AJ1790" s="26"/>
      <c r="AK1790" s="2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46"/>
      <c r="BM1790" s="46"/>
      <c r="BN1790" s="46"/>
      <c r="BO1790" s="46"/>
    </row>
    <row r="1791">
      <c r="A1791" s="16" t="str">
        <f t="shared" si="14"/>
        <v/>
      </c>
      <c r="B1791" s="16" t="str">
        <f t="shared" si="15"/>
        <v/>
      </c>
      <c r="C1791" s="35" t="str">
        <f t="shared" si="16"/>
        <v/>
      </c>
      <c r="D1791" s="35" t="str">
        <f t="shared" si="17"/>
        <v/>
      </c>
      <c r="E1791" s="35" t="str">
        <f t="shared" si="18"/>
        <v/>
      </c>
      <c r="F1791" s="35" t="str">
        <f t="shared" si="19"/>
        <v/>
      </c>
      <c r="G1791" s="35" t="str">
        <f t="shared" si="20"/>
        <v/>
      </c>
      <c r="H1791" s="49"/>
      <c r="I1791" s="47" t="str">
        <f t="shared" si="21"/>
        <v/>
      </c>
      <c r="J1791" s="50"/>
      <c r="K1791" s="45" t="b">
        <v>0</v>
      </c>
      <c r="L1791" s="45"/>
      <c r="M1791" s="45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  <c r="AD1791" s="26"/>
      <c r="AE1791" s="26"/>
      <c r="AF1791" s="26"/>
      <c r="AG1791" s="26"/>
      <c r="AH1791" s="26"/>
      <c r="AI1791" s="26"/>
      <c r="AJ1791" s="26"/>
      <c r="AK1791" s="2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46"/>
      <c r="BM1791" s="46"/>
      <c r="BN1791" s="46"/>
      <c r="BO1791" s="46"/>
    </row>
    <row r="1792">
      <c r="A1792" s="16" t="str">
        <f t="shared" si="14"/>
        <v/>
      </c>
      <c r="B1792" s="16" t="str">
        <f t="shared" si="15"/>
        <v/>
      </c>
      <c r="C1792" s="35" t="str">
        <f t="shared" si="16"/>
        <v/>
      </c>
      <c r="D1792" s="35" t="str">
        <f t="shared" si="17"/>
        <v/>
      </c>
      <c r="E1792" s="35" t="str">
        <f t="shared" si="18"/>
        <v/>
      </c>
      <c r="F1792" s="35" t="str">
        <f t="shared" si="19"/>
        <v/>
      </c>
      <c r="G1792" s="35" t="str">
        <f t="shared" si="20"/>
        <v/>
      </c>
      <c r="H1792" s="49"/>
      <c r="I1792" s="47" t="str">
        <f t="shared" si="21"/>
        <v/>
      </c>
      <c r="J1792" s="50"/>
      <c r="K1792" s="45" t="b">
        <v>0</v>
      </c>
      <c r="L1792" s="45"/>
      <c r="M1792" s="45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  <c r="AD1792" s="26"/>
      <c r="AE1792" s="26"/>
      <c r="AF1792" s="26"/>
      <c r="AG1792" s="26"/>
      <c r="AH1792" s="26"/>
      <c r="AI1792" s="26"/>
      <c r="AJ1792" s="26"/>
      <c r="AK1792" s="2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46"/>
      <c r="BM1792" s="46"/>
      <c r="BN1792" s="46"/>
      <c r="BO1792" s="46"/>
    </row>
    <row r="1793">
      <c r="A1793" s="16" t="str">
        <f t="shared" si="14"/>
        <v/>
      </c>
      <c r="B1793" s="16" t="str">
        <f t="shared" si="15"/>
        <v/>
      </c>
      <c r="C1793" s="35" t="str">
        <f t="shared" si="16"/>
        <v/>
      </c>
      <c r="D1793" s="35" t="str">
        <f t="shared" si="17"/>
        <v/>
      </c>
      <c r="E1793" s="35" t="str">
        <f t="shared" si="18"/>
        <v/>
      </c>
      <c r="F1793" s="35" t="str">
        <f t="shared" si="19"/>
        <v/>
      </c>
      <c r="G1793" s="35" t="str">
        <f t="shared" si="20"/>
        <v/>
      </c>
      <c r="H1793" s="49"/>
      <c r="I1793" s="47" t="str">
        <f t="shared" si="21"/>
        <v/>
      </c>
      <c r="J1793" s="50"/>
      <c r="K1793" s="45" t="b">
        <v>0</v>
      </c>
      <c r="L1793" s="45"/>
      <c r="M1793" s="45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</row>
    <row r="1794">
      <c r="A1794" s="16" t="str">
        <f t="shared" si="14"/>
        <v/>
      </c>
      <c r="B1794" s="16" t="str">
        <f t="shared" si="15"/>
        <v/>
      </c>
      <c r="C1794" s="35" t="str">
        <f t="shared" si="16"/>
        <v/>
      </c>
      <c r="D1794" s="35" t="str">
        <f t="shared" si="17"/>
        <v/>
      </c>
      <c r="E1794" s="35" t="str">
        <f t="shared" si="18"/>
        <v/>
      </c>
      <c r="F1794" s="35" t="str">
        <f t="shared" si="19"/>
        <v/>
      </c>
      <c r="G1794" s="35" t="str">
        <f t="shared" si="20"/>
        <v/>
      </c>
      <c r="H1794" s="49"/>
      <c r="I1794" s="47" t="str">
        <f t="shared" si="21"/>
        <v/>
      </c>
      <c r="J1794" s="50"/>
      <c r="K1794" s="45" t="b">
        <v>0</v>
      </c>
      <c r="L1794" s="45"/>
      <c r="M1794" s="45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</row>
    <row r="1795">
      <c r="A1795" s="16" t="str">
        <f t="shared" si="14"/>
        <v/>
      </c>
      <c r="B1795" s="16" t="str">
        <f t="shared" si="15"/>
        <v/>
      </c>
      <c r="C1795" s="35" t="str">
        <f t="shared" si="16"/>
        <v/>
      </c>
      <c r="D1795" s="35" t="str">
        <f t="shared" si="17"/>
        <v/>
      </c>
      <c r="E1795" s="35" t="str">
        <f t="shared" si="18"/>
        <v/>
      </c>
      <c r="F1795" s="35" t="str">
        <f t="shared" si="19"/>
        <v/>
      </c>
      <c r="G1795" s="35" t="str">
        <f t="shared" si="20"/>
        <v/>
      </c>
      <c r="H1795" s="49"/>
      <c r="I1795" s="47" t="str">
        <f t="shared" si="21"/>
        <v/>
      </c>
      <c r="J1795" s="50"/>
      <c r="K1795" s="45" t="b">
        <v>0</v>
      </c>
      <c r="L1795" s="45"/>
      <c r="M1795" s="45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  <c r="AD1795" s="26"/>
      <c r="AE1795" s="26"/>
      <c r="AF1795" s="26"/>
      <c r="AG1795" s="26"/>
      <c r="AH1795" s="26"/>
      <c r="AI1795" s="26"/>
      <c r="AJ1795" s="26"/>
      <c r="AK1795" s="2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</row>
    <row r="1796">
      <c r="A1796" s="16" t="str">
        <f t="shared" si="14"/>
        <v/>
      </c>
      <c r="B1796" s="16" t="str">
        <f t="shared" si="15"/>
        <v/>
      </c>
      <c r="C1796" s="35" t="str">
        <f t="shared" si="16"/>
        <v/>
      </c>
      <c r="D1796" s="35" t="str">
        <f t="shared" si="17"/>
        <v/>
      </c>
      <c r="E1796" s="35" t="str">
        <f t="shared" si="18"/>
        <v/>
      </c>
      <c r="F1796" s="35" t="str">
        <f t="shared" si="19"/>
        <v/>
      </c>
      <c r="G1796" s="35" t="str">
        <f t="shared" si="20"/>
        <v/>
      </c>
      <c r="H1796" s="49"/>
      <c r="I1796" s="47" t="str">
        <f t="shared" si="21"/>
        <v/>
      </c>
      <c r="J1796" s="50"/>
      <c r="K1796" s="45" t="b">
        <v>0</v>
      </c>
      <c r="L1796" s="45"/>
      <c r="M1796" s="45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  <c r="AD1796" s="26"/>
      <c r="AE1796" s="26"/>
      <c r="AF1796" s="26"/>
      <c r="AG1796" s="26"/>
      <c r="AH1796" s="26"/>
      <c r="AI1796" s="26"/>
      <c r="AJ1796" s="26"/>
      <c r="AK1796" s="2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</row>
    <row r="1797">
      <c r="A1797" s="16" t="str">
        <f t="shared" si="14"/>
        <v/>
      </c>
      <c r="B1797" s="16" t="str">
        <f t="shared" si="15"/>
        <v/>
      </c>
      <c r="C1797" s="35" t="str">
        <f t="shared" si="16"/>
        <v/>
      </c>
      <c r="D1797" s="35" t="str">
        <f t="shared" si="17"/>
        <v/>
      </c>
      <c r="E1797" s="35" t="str">
        <f t="shared" si="18"/>
        <v/>
      </c>
      <c r="F1797" s="35" t="str">
        <f t="shared" si="19"/>
        <v/>
      </c>
      <c r="G1797" s="35" t="str">
        <f t="shared" si="20"/>
        <v/>
      </c>
      <c r="H1797" s="49"/>
      <c r="I1797" s="47" t="str">
        <f t="shared" si="21"/>
        <v/>
      </c>
      <c r="J1797" s="50"/>
      <c r="K1797" s="45" t="b">
        <v>0</v>
      </c>
      <c r="L1797" s="45"/>
      <c r="M1797" s="45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  <c r="AD1797" s="26"/>
      <c r="AE1797" s="26"/>
      <c r="AF1797" s="26"/>
      <c r="AG1797" s="26"/>
      <c r="AH1797" s="26"/>
      <c r="AI1797" s="26"/>
      <c r="AJ1797" s="26"/>
      <c r="AK1797" s="2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</row>
    <row r="1798">
      <c r="A1798" s="16" t="str">
        <f t="shared" si="14"/>
        <v/>
      </c>
      <c r="B1798" s="16" t="str">
        <f t="shared" si="15"/>
        <v/>
      </c>
      <c r="C1798" s="35" t="str">
        <f t="shared" si="16"/>
        <v/>
      </c>
      <c r="D1798" s="35" t="str">
        <f t="shared" si="17"/>
        <v/>
      </c>
      <c r="E1798" s="35" t="str">
        <f t="shared" si="18"/>
        <v/>
      </c>
      <c r="F1798" s="35" t="str">
        <f t="shared" si="19"/>
        <v/>
      </c>
      <c r="G1798" s="35" t="str">
        <f t="shared" si="20"/>
        <v/>
      </c>
      <c r="H1798" s="49"/>
      <c r="I1798" s="47" t="str">
        <f t="shared" si="21"/>
        <v/>
      </c>
      <c r="J1798" s="50"/>
      <c r="K1798" s="45" t="b">
        <v>0</v>
      </c>
      <c r="L1798" s="45"/>
      <c r="M1798" s="45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  <c r="AC1798" s="26"/>
      <c r="AD1798" s="26"/>
      <c r="AE1798" s="26"/>
      <c r="AF1798" s="26"/>
      <c r="AG1798" s="26"/>
      <c r="AH1798" s="26"/>
      <c r="AI1798" s="26"/>
      <c r="AJ1798" s="26"/>
      <c r="AK1798" s="2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</row>
    <row r="1799">
      <c r="A1799" s="16" t="str">
        <f t="shared" si="14"/>
        <v/>
      </c>
      <c r="B1799" s="16" t="str">
        <f t="shared" si="15"/>
        <v/>
      </c>
      <c r="C1799" s="35" t="str">
        <f t="shared" si="16"/>
        <v/>
      </c>
      <c r="D1799" s="35" t="str">
        <f t="shared" si="17"/>
        <v/>
      </c>
      <c r="E1799" s="35" t="str">
        <f t="shared" si="18"/>
        <v/>
      </c>
      <c r="F1799" s="35" t="str">
        <f t="shared" si="19"/>
        <v/>
      </c>
      <c r="G1799" s="35" t="str">
        <f t="shared" si="20"/>
        <v/>
      </c>
      <c r="H1799" s="49"/>
      <c r="I1799" s="47" t="str">
        <f t="shared" si="21"/>
        <v/>
      </c>
      <c r="J1799" s="50"/>
      <c r="K1799" s="45" t="b">
        <v>0</v>
      </c>
      <c r="L1799" s="45"/>
      <c r="M1799" s="45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  <c r="AC1799" s="26"/>
      <c r="AD1799" s="26"/>
      <c r="AE1799" s="26"/>
      <c r="AF1799" s="26"/>
      <c r="AG1799" s="26"/>
      <c r="AH1799" s="26"/>
      <c r="AI1799" s="26"/>
      <c r="AJ1799" s="26"/>
      <c r="AK1799" s="2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46"/>
      <c r="BM1799" s="46"/>
      <c r="BN1799" s="46"/>
      <c r="BO1799" s="46"/>
    </row>
    <row r="1800">
      <c r="A1800" s="16" t="str">
        <f t="shared" si="14"/>
        <v/>
      </c>
      <c r="B1800" s="16" t="str">
        <f t="shared" si="15"/>
        <v/>
      </c>
      <c r="C1800" s="35" t="str">
        <f t="shared" si="16"/>
        <v/>
      </c>
      <c r="D1800" s="35" t="str">
        <f t="shared" si="17"/>
        <v/>
      </c>
      <c r="E1800" s="35" t="str">
        <f t="shared" si="18"/>
        <v/>
      </c>
      <c r="F1800" s="35" t="str">
        <f t="shared" si="19"/>
        <v/>
      </c>
      <c r="G1800" s="35" t="str">
        <f t="shared" si="20"/>
        <v/>
      </c>
      <c r="H1800" s="49"/>
      <c r="I1800" s="47" t="str">
        <f t="shared" si="21"/>
        <v/>
      </c>
      <c r="J1800" s="50"/>
      <c r="K1800" s="45" t="b">
        <v>0</v>
      </c>
      <c r="L1800" s="45"/>
      <c r="M1800" s="45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  <c r="AC1800" s="26"/>
      <c r="AD1800" s="26"/>
      <c r="AE1800" s="26"/>
      <c r="AF1800" s="26"/>
      <c r="AG1800" s="26"/>
      <c r="AH1800" s="26"/>
      <c r="AI1800" s="26"/>
      <c r="AJ1800" s="26"/>
      <c r="AK1800" s="2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  <c r="BJ1800" s="46"/>
      <c r="BK1800" s="46"/>
      <c r="BL1800" s="46"/>
      <c r="BM1800" s="46"/>
      <c r="BN1800" s="46"/>
      <c r="BO1800" s="46"/>
    </row>
    <row r="1801">
      <c r="A1801" s="16" t="str">
        <f t="shared" si="14"/>
        <v/>
      </c>
      <c r="B1801" s="16" t="str">
        <f t="shared" si="15"/>
        <v/>
      </c>
      <c r="C1801" s="35" t="str">
        <f t="shared" si="16"/>
        <v/>
      </c>
      <c r="D1801" s="35" t="str">
        <f t="shared" si="17"/>
        <v/>
      </c>
      <c r="E1801" s="35" t="str">
        <f t="shared" si="18"/>
        <v/>
      </c>
      <c r="F1801" s="35" t="str">
        <f t="shared" si="19"/>
        <v/>
      </c>
      <c r="G1801" s="35" t="str">
        <f t="shared" si="20"/>
        <v/>
      </c>
      <c r="H1801" s="49"/>
      <c r="I1801" s="47" t="str">
        <f t="shared" si="21"/>
        <v/>
      </c>
      <c r="J1801" s="50"/>
      <c r="K1801" s="45" t="b">
        <v>0</v>
      </c>
      <c r="L1801" s="45"/>
      <c r="M1801" s="45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  <c r="AC1801" s="26"/>
      <c r="AD1801" s="26"/>
      <c r="AE1801" s="26"/>
      <c r="AF1801" s="26"/>
      <c r="AG1801" s="26"/>
      <c r="AH1801" s="26"/>
      <c r="AI1801" s="26"/>
      <c r="AJ1801" s="26"/>
      <c r="AK1801" s="2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46"/>
      <c r="BM1801" s="46"/>
      <c r="BN1801" s="46"/>
      <c r="BO1801" s="46"/>
    </row>
    <row r="1802">
      <c r="A1802" s="16" t="str">
        <f t="shared" si="14"/>
        <v/>
      </c>
      <c r="B1802" s="16" t="str">
        <f t="shared" si="15"/>
        <v/>
      </c>
      <c r="C1802" s="35" t="str">
        <f t="shared" si="16"/>
        <v/>
      </c>
      <c r="D1802" s="35" t="str">
        <f t="shared" si="17"/>
        <v/>
      </c>
      <c r="E1802" s="35" t="str">
        <f t="shared" si="18"/>
        <v/>
      </c>
      <c r="F1802" s="35" t="str">
        <f t="shared" si="19"/>
        <v/>
      </c>
      <c r="G1802" s="35" t="str">
        <f t="shared" si="20"/>
        <v/>
      </c>
      <c r="H1802" s="49"/>
      <c r="I1802" s="47" t="str">
        <f t="shared" si="21"/>
        <v/>
      </c>
      <c r="J1802" s="50"/>
      <c r="K1802" s="45" t="b">
        <v>0</v>
      </c>
      <c r="L1802" s="45"/>
      <c r="M1802" s="45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  <c r="AC1802" s="26"/>
      <c r="AD1802" s="26"/>
      <c r="AE1802" s="26"/>
      <c r="AF1802" s="26"/>
      <c r="AG1802" s="26"/>
      <c r="AH1802" s="26"/>
      <c r="AI1802" s="26"/>
      <c r="AJ1802" s="26"/>
      <c r="AK1802" s="2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</row>
    <row r="1803">
      <c r="A1803" s="16" t="str">
        <f t="shared" si="14"/>
        <v/>
      </c>
      <c r="B1803" s="16" t="str">
        <f t="shared" si="15"/>
        <v/>
      </c>
      <c r="C1803" s="35" t="str">
        <f t="shared" si="16"/>
        <v/>
      </c>
      <c r="D1803" s="35" t="str">
        <f t="shared" si="17"/>
        <v/>
      </c>
      <c r="E1803" s="35" t="str">
        <f t="shared" si="18"/>
        <v/>
      </c>
      <c r="F1803" s="35" t="str">
        <f t="shared" si="19"/>
        <v/>
      </c>
      <c r="G1803" s="35" t="str">
        <f t="shared" si="20"/>
        <v/>
      </c>
      <c r="H1803" s="49"/>
      <c r="I1803" s="47" t="str">
        <f t="shared" si="21"/>
        <v/>
      </c>
      <c r="J1803" s="50"/>
      <c r="K1803" s="45" t="b">
        <v>0</v>
      </c>
      <c r="L1803" s="45"/>
      <c r="M1803" s="45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  <c r="AC1803" s="26"/>
      <c r="AD1803" s="26"/>
      <c r="AE1803" s="26"/>
      <c r="AF1803" s="26"/>
      <c r="AG1803" s="26"/>
      <c r="AH1803" s="26"/>
      <c r="AI1803" s="26"/>
      <c r="AJ1803" s="26"/>
      <c r="AK1803" s="2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</row>
    <row r="1804">
      <c r="A1804" s="16" t="str">
        <f t="shared" si="14"/>
        <v/>
      </c>
      <c r="B1804" s="16" t="str">
        <f t="shared" si="15"/>
        <v/>
      </c>
      <c r="C1804" s="35" t="str">
        <f t="shared" si="16"/>
        <v/>
      </c>
      <c r="D1804" s="35" t="str">
        <f t="shared" si="17"/>
        <v/>
      </c>
      <c r="E1804" s="35" t="str">
        <f t="shared" si="18"/>
        <v/>
      </c>
      <c r="F1804" s="35" t="str">
        <f t="shared" si="19"/>
        <v/>
      </c>
      <c r="G1804" s="35" t="str">
        <f t="shared" si="20"/>
        <v/>
      </c>
      <c r="H1804" s="49"/>
      <c r="I1804" s="47" t="str">
        <f t="shared" si="21"/>
        <v/>
      </c>
      <c r="J1804" s="50"/>
      <c r="K1804" s="45" t="b">
        <v>0</v>
      </c>
      <c r="L1804" s="45"/>
      <c r="M1804" s="45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  <c r="AC1804" s="26"/>
      <c r="AD1804" s="26"/>
      <c r="AE1804" s="26"/>
      <c r="AF1804" s="26"/>
      <c r="AG1804" s="26"/>
      <c r="AH1804" s="26"/>
      <c r="AI1804" s="26"/>
      <c r="AJ1804" s="26"/>
      <c r="AK1804" s="2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</row>
    <row r="1805">
      <c r="A1805" s="16" t="str">
        <f t="shared" si="14"/>
        <v/>
      </c>
      <c r="B1805" s="16" t="str">
        <f t="shared" si="15"/>
        <v/>
      </c>
      <c r="C1805" s="35" t="str">
        <f t="shared" si="16"/>
        <v/>
      </c>
      <c r="D1805" s="35" t="str">
        <f t="shared" si="17"/>
        <v/>
      </c>
      <c r="E1805" s="35" t="str">
        <f t="shared" si="18"/>
        <v/>
      </c>
      <c r="F1805" s="35" t="str">
        <f t="shared" si="19"/>
        <v/>
      </c>
      <c r="G1805" s="35" t="str">
        <f t="shared" si="20"/>
        <v/>
      </c>
      <c r="H1805" s="49"/>
      <c r="I1805" s="47" t="str">
        <f t="shared" si="21"/>
        <v/>
      </c>
      <c r="J1805" s="50"/>
      <c r="K1805" s="45" t="b">
        <v>0</v>
      </c>
      <c r="L1805" s="45"/>
      <c r="M1805" s="45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  <c r="AC1805" s="26"/>
      <c r="AD1805" s="26"/>
      <c r="AE1805" s="26"/>
      <c r="AF1805" s="26"/>
      <c r="AG1805" s="26"/>
      <c r="AH1805" s="26"/>
      <c r="AI1805" s="26"/>
      <c r="AJ1805" s="26"/>
      <c r="AK1805" s="2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</row>
    <row r="1806">
      <c r="A1806" s="16" t="str">
        <f t="shared" si="14"/>
        <v/>
      </c>
      <c r="B1806" s="16" t="str">
        <f t="shared" si="15"/>
        <v/>
      </c>
      <c r="C1806" s="35" t="str">
        <f t="shared" si="16"/>
        <v/>
      </c>
      <c r="D1806" s="35" t="str">
        <f t="shared" si="17"/>
        <v/>
      </c>
      <c r="E1806" s="35" t="str">
        <f t="shared" si="18"/>
        <v/>
      </c>
      <c r="F1806" s="35" t="str">
        <f t="shared" si="19"/>
        <v/>
      </c>
      <c r="G1806" s="35" t="str">
        <f t="shared" si="20"/>
        <v/>
      </c>
      <c r="H1806" s="49"/>
      <c r="I1806" s="47" t="str">
        <f t="shared" si="21"/>
        <v/>
      </c>
      <c r="J1806" s="50"/>
      <c r="K1806" s="45" t="b">
        <v>0</v>
      </c>
      <c r="L1806" s="45"/>
      <c r="M1806" s="45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26"/>
      <c r="AD1806" s="26"/>
      <c r="AE1806" s="26"/>
      <c r="AF1806" s="26"/>
      <c r="AG1806" s="26"/>
      <c r="AH1806" s="26"/>
      <c r="AI1806" s="26"/>
      <c r="AJ1806" s="26"/>
      <c r="AK1806" s="2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</row>
    <row r="1807">
      <c r="A1807" s="16" t="str">
        <f t="shared" si="14"/>
        <v/>
      </c>
      <c r="B1807" s="16" t="str">
        <f t="shared" si="15"/>
        <v/>
      </c>
      <c r="C1807" s="35" t="str">
        <f t="shared" si="16"/>
        <v/>
      </c>
      <c r="D1807" s="35" t="str">
        <f t="shared" si="17"/>
        <v/>
      </c>
      <c r="E1807" s="35" t="str">
        <f t="shared" si="18"/>
        <v/>
      </c>
      <c r="F1807" s="35" t="str">
        <f t="shared" si="19"/>
        <v/>
      </c>
      <c r="G1807" s="35" t="str">
        <f t="shared" si="20"/>
        <v/>
      </c>
      <c r="H1807" s="49"/>
      <c r="I1807" s="47" t="str">
        <f t="shared" si="21"/>
        <v/>
      </c>
      <c r="J1807" s="50"/>
      <c r="K1807" s="45" t="b">
        <v>0</v>
      </c>
      <c r="L1807" s="45"/>
      <c r="M1807" s="45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  <c r="AD1807" s="26"/>
      <c r="AE1807" s="26"/>
      <c r="AF1807" s="26"/>
      <c r="AG1807" s="26"/>
      <c r="AH1807" s="26"/>
      <c r="AI1807" s="26"/>
      <c r="AJ1807" s="26"/>
      <c r="AK1807" s="2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</row>
    <row r="1808">
      <c r="A1808" s="16" t="str">
        <f t="shared" si="14"/>
        <v/>
      </c>
      <c r="B1808" s="16" t="str">
        <f t="shared" si="15"/>
        <v/>
      </c>
      <c r="C1808" s="35" t="str">
        <f t="shared" si="16"/>
        <v/>
      </c>
      <c r="D1808" s="35" t="str">
        <f t="shared" si="17"/>
        <v/>
      </c>
      <c r="E1808" s="35" t="str">
        <f t="shared" si="18"/>
        <v/>
      </c>
      <c r="F1808" s="35" t="str">
        <f t="shared" si="19"/>
        <v/>
      </c>
      <c r="G1808" s="35" t="str">
        <f t="shared" si="20"/>
        <v/>
      </c>
      <c r="H1808" s="49"/>
      <c r="I1808" s="47" t="str">
        <f t="shared" si="21"/>
        <v/>
      </c>
      <c r="J1808" s="50"/>
      <c r="K1808" s="45" t="b">
        <v>0</v>
      </c>
      <c r="L1808" s="45"/>
      <c r="M1808" s="45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26"/>
      <c r="AH1808" s="26"/>
      <c r="AI1808" s="26"/>
      <c r="AJ1808" s="26"/>
      <c r="AK1808" s="2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</row>
    <row r="1809">
      <c r="A1809" s="16" t="str">
        <f t="shared" si="14"/>
        <v/>
      </c>
      <c r="B1809" s="16" t="str">
        <f t="shared" si="15"/>
        <v/>
      </c>
      <c r="C1809" s="35" t="str">
        <f t="shared" si="16"/>
        <v/>
      </c>
      <c r="D1809" s="35" t="str">
        <f t="shared" si="17"/>
        <v/>
      </c>
      <c r="E1809" s="35" t="str">
        <f t="shared" si="18"/>
        <v/>
      </c>
      <c r="F1809" s="35" t="str">
        <f t="shared" si="19"/>
        <v/>
      </c>
      <c r="G1809" s="35" t="str">
        <f t="shared" si="20"/>
        <v/>
      </c>
      <c r="H1809" s="49"/>
      <c r="I1809" s="47" t="str">
        <f t="shared" si="21"/>
        <v/>
      </c>
      <c r="J1809" s="50"/>
      <c r="K1809" s="45" t="b">
        <v>0</v>
      </c>
      <c r="L1809" s="45"/>
      <c r="M1809" s="45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  <c r="AD1809" s="26"/>
      <c r="AE1809" s="26"/>
      <c r="AF1809" s="26"/>
      <c r="AG1809" s="26"/>
      <c r="AH1809" s="26"/>
      <c r="AI1809" s="26"/>
      <c r="AJ1809" s="26"/>
      <c r="AK1809" s="2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</row>
    <row r="1810">
      <c r="A1810" s="16" t="str">
        <f t="shared" si="14"/>
        <v/>
      </c>
      <c r="B1810" s="16" t="str">
        <f t="shared" si="15"/>
        <v/>
      </c>
      <c r="C1810" s="35" t="str">
        <f t="shared" si="16"/>
        <v/>
      </c>
      <c r="D1810" s="35" t="str">
        <f t="shared" si="17"/>
        <v/>
      </c>
      <c r="E1810" s="35" t="str">
        <f t="shared" si="18"/>
        <v/>
      </c>
      <c r="F1810" s="35" t="str">
        <f t="shared" si="19"/>
        <v/>
      </c>
      <c r="G1810" s="35" t="str">
        <f t="shared" si="20"/>
        <v/>
      </c>
      <c r="H1810" s="49"/>
      <c r="I1810" s="47" t="str">
        <f t="shared" si="21"/>
        <v/>
      </c>
      <c r="J1810" s="50"/>
      <c r="K1810" s="45" t="b">
        <v>0</v>
      </c>
      <c r="L1810" s="45"/>
      <c r="M1810" s="45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  <c r="AD1810" s="26"/>
      <c r="AE1810" s="26"/>
      <c r="AF1810" s="26"/>
      <c r="AG1810" s="26"/>
      <c r="AH1810" s="26"/>
      <c r="AI1810" s="26"/>
      <c r="AJ1810" s="26"/>
      <c r="AK1810" s="2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</row>
    <row r="1811">
      <c r="A1811" s="16" t="str">
        <f t="shared" si="14"/>
        <v/>
      </c>
      <c r="B1811" s="16" t="str">
        <f t="shared" si="15"/>
        <v/>
      </c>
      <c r="C1811" s="35" t="str">
        <f t="shared" si="16"/>
        <v/>
      </c>
      <c r="D1811" s="35" t="str">
        <f t="shared" si="17"/>
        <v/>
      </c>
      <c r="E1811" s="35" t="str">
        <f t="shared" si="18"/>
        <v/>
      </c>
      <c r="F1811" s="35" t="str">
        <f t="shared" si="19"/>
        <v/>
      </c>
      <c r="G1811" s="35" t="str">
        <f t="shared" si="20"/>
        <v/>
      </c>
      <c r="H1811" s="49"/>
      <c r="I1811" s="47" t="str">
        <f t="shared" si="21"/>
        <v/>
      </c>
      <c r="J1811" s="50"/>
      <c r="K1811" s="45" t="b">
        <v>0</v>
      </c>
      <c r="L1811" s="45"/>
      <c r="M1811" s="45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  <c r="AD1811" s="26"/>
      <c r="AE1811" s="26"/>
      <c r="AF1811" s="26"/>
      <c r="AG1811" s="26"/>
      <c r="AH1811" s="26"/>
      <c r="AI1811" s="26"/>
      <c r="AJ1811" s="26"/>
      <c r="AK1811" s="2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</row>
    <row r="1812">
      <c r="A1812" s="16" t="str">
        <f t="shared" si="14"/>
        <v/>
      </c>
      <c r="B1812" s="16" t="str">
        <f t="shared" si="15"/>
        <v/>
      </c>
      <c r="C1812" s="35" t="str">
        <f t="shared" si="16"/>
        <v/>
      </c>
      <c r="D1812" s="35" t="str">
        <f t="shared" si="17"/>
        <v/>
      </c>
      <c r="E1812" s="35" t="str">
        <f t="shared" si="18"/>
        <v/>
      </c>
      <c r="F1812" s="35" t="str">
        <f t="shared" si="19"/>
        <v/>
      </c>
      <c r="G1812" s="35" t="str">
        <f t="shared" si="20"/>
        <v/>
      </c>
      <c r="H1812" s="49"/>
      <c r="I1812" s="47" t="str">
        <f t="shared" si="21"/>
        <v/>
      </c>
      <c r="J1812" s="50"/>
      <c r="K1812" s="45" t="b">
        <v>0</v>
      </c>
      <c r="L1812" s="45"/>
      <c r="M1812" s="45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26"/>
      <c r="AH1812" s="26"/>
      <c r="AI1812" s="26"/>
      <c r="AJ1812" s="26"/>
      <c r="AK1812" s="2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</row>
    <row r="1813">
      <c r="A1813" s="16" t="str">
        <f t="shared" si="14"/>
        <v/>
      </c>
      <c r="B1813" s="16" t="str">
        <f t="shared" si="15"/>
        <v/>
      </c>
      <c r="C1813" s="35" t="str">
        <f t="shared" si="16"/>
        <v/>
      </c>
      <c r="D1813" s="35" t="str">
        <f t="shared" si="17"/>
        <v/>
      </c>
      <c r="E1813" s="35" t="str">
        <f t="shared" si="18"/>
        <v/>
      </c>
      <c r="F1813" s="35" t="str">
        <f t="shared" si="19"/>
        <v/>
      </c>
      <c r="G1813" s="35" t="str">
        <f t="shared" si="20"/>
        <v/>
      </c>
      <c r="H1813" s="49"/>
      <c r="I1813" s="47" t="str">
        <f t="shared" si="21"/>
        <v/>
      </c>
      <c r="J1813" s="50"/>
      <c r="K1813" s="45" t="b">
        <v>0</v>
      </c>
      <c r="L1813" s="45"/>
      <c r="M1813" s="45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</row>
    <row r="1814">
      <c r="A1814" s="16" t="str">
        <f t="shared" si="14"/>
        <v/>
      </c>
      <c r="B1814" s="16" t="str">
        <f t="shared" si="15"/>
        <v/>
      </c>
      <c r="C1814" s="35" t="str">
        <f t="shared" si="16"/>
        <v/>
      </c>
      <c r="D1814" s="35" t="str">
        <f t="shared" si="17"/>
        <v/>
      </c>
      <c r="E1814" s="35" t="str">
        <f t="shared" si="18"/>
        <v/>
      </c>
      <c r="F1814" s="35" t="str">
        <f t="shared" si="19"/>
        <v/>
      </c>
      <c r="G1814" s="35" t="str">
        <f t="shared" si="20"/>
        <v/>
      </c>
      <c r="H1814" s="49"/>
      <c r="I1814" s="47" t="str">
        <f t="shared" si="21"/>
        <v/>
      </c>
      <c r="J1814" s="50"/>
      <c r="K1814" s="45" t="b">
        <v>0</v>
      </c>
      <c r="L1814" s="45"/>
      <c r="M1814" s="45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  <c r="AC1814" s="26"/>
      <c r="AD1814" s="26"/>
      <c r="AE1814" s="26"/>
      <c r="AF1814" s="26"/>
      <c r="AG1814" s="26"/>
      <c r="AH1814" s="26"/>
      <c r="AI1814" s="26"/>
      <c r="AJ1814" s="26"/>
      <c r="AK1814" s="2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</row>
    <row r="1815">
      <c r="A1815" s="16" t="str">
        <f t="shared" si="14"/>
        <v/>
      </c>
      <c r="B1815" s="16" t="str">
        <f t="shared" si="15"/>
        <v/>
      </c>
      <c r="C1815" s="35" t="str">
        <f t="shared" si="16"/>
        <v/>
      </c>
      <c r="D1815" s="35" t="str">
        <f t="shared" si="17"/>
        <v/>
      </c>
      <c r="E1815" s="35" t="str">
        <f t="shared" si="18"/>
        <v/>
      </c>
      <c r="F1815" s="35" t="str">
        <f t="shared" si="19"/>
        <v/>
      </c>
      <c r="G1815" s="35" t="str">
        <f t="shared" si="20"/>
        <v/>
      </c>
      <c r="H1815" s="49"/>
      <c r="I1815" s="47" t="str">
        <f t="shared" si="21"/>
        <v/>
      </c>
      <c r="J1815" s="50"/>
      <c r="K1815" s="45" t="b">
        <v>0</v>
      </c>
      <c r="L1815" s="45"/>
      <c r="M1815" s="45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  <c r="AC1815" s="26"/>
      <c r="AD1815" s="26"/>
      <c r="AE1815" s="26"/>
      <c r="AF1815" s="26"/>
      <c r="AG1815" s="26"/>
      <c r="AH1815" s="26"/>
      <c r="AI1815" s="26"/>
      <c r="AJ1815" s="26"/>
      <c r="AK1815" s="2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</row>
    <row r="1816">
      <c r="A1816" s="16" t="str">
        <f t="shared" si="14"/>
        <v/>
      </c>
      <c r="B1816" s="16" t="str">
        <f t="shared" si="15"/>
        <v/>
      </c>
      <c r="C1816" s="35" t="str">
        <f t="shared" si="16"/>
        <v/>
      </c>
      <c r="D1816" s="35" t="str">
        <f t="shared" si="17"/>
        <v/>
      </c>
      <c r="E1816" s="35" t="str">
        <f t="shared" si="18"/>
        <v/>
      </c>
      <c r="F1816" s="35" t="str">
        <f t="shared" si="19"/>
        <v/>
      </c>
      <c r="G1816" s="35" t="str">
        <f t="shared" si="20"/>
        <v/>
      </c>
      <c r="H1816" s="49"/>
      <c r="I1816" s="47" t="str">
        <f t="shared" si="21"/>
        <v/>
      </c>
      <c r="J1816" s="50"/>
      <c r="K1816" s="45" t="b">
        <v>0</v>
      </c>
      <c r="L1816" s="45"/>
      <c r="M1816" s="45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6"/>
      <c r="AI1816" s="26"/>
      <c r="AJ1816" s="26"/>
      <c r="AK1816" s="2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</row>
    <row r="1817">
      <c r="A1817" s="16" t="str">
        <f t="shared" si="14"/>
        <v/>
      </c>
      <c r="B1817" s="16" t="str">
        <f t="shared" si="15"/>
        <v/>
      </c>
      <c r="C1817" s="35" t="str">
        <f t="shared" si="16"/>
        <v/>
      </c>
      <c r="D1817" s="35" t="str">
        <f t="shared" si="17"/>
        <v/>
      </c>
      <c r="E1817" s="35" t="str">
        <f t="shared" si="18"/>
        <v/>
      </c>
      <c r="F1817" s="35" t="str">
        <f t="shared" si="19"/>
        <v/>
      </c>
      <c r="G1817" s="35" t="str">
        <f t="shared" si="20"/>
        <v/>
      </c>
      <c r="H1817" s="49"/>
      <c r="I1817" s="47" t="str">
        <f t="shared" si="21"/>
        <v/>
      </c>
      <c r="J1817" s="50"/>
      <c r="K1817" s="45" t="b">
        <v>0</v>
      </c>
      <c r="L1817" s="45"/>
      <c r="M1817" s="45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  <c r="AC1817" s="26"/>
      <c r="AD1817" s="26"/>
      <c r="AE1817" s="26"/>
      <c r="AF1817" s="26"/>
      <c r="AG1817" s="26"/>
      <c r="AH1817" s="26"/>
      <c r="AI1817" s="26"/>
      <c r="AJ1817" s="26"/>
      <c r="AK1817" s="2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</row>
    <row r="1818">
      <c r="A1818" s="16" t="str">
        <f t="shared" si="14"/>
        <v/>
      </c>
      <c r="B1818" s="16" t="str">
        <f t="shared" si="15"/>
        <v/>
      </c>
      <c r="C1818" s="35" t="str">
        <f t="shared" si="16"/>
        <v/>
      </c>
      <c r="D1818" s="35" t="str">
        <f t="shared" si="17"/>
        <v/>
      </c>
      <c r="E1818" s="35" t="str">
        <f t="shared" si="18"/>
        <v/>
      </c>
      <c r="F1818" s="35" t="str">
        <f t="shared" si="19"/>
        <v/>
      </c>
      <c r="G1818" s="35" t="str">
        <f t="shared" si="20"/>
        <v/>
      </c>
      <c r="H1818" s="49"/>
      <c r="I1818" s="47" t="str">
        <f t="shared" si="21"/>
        <v/>
      </c>
      <c r="J1818" s="50"/>
      <c r="K1818" s="45" t="b">
        <v>0</v>
      </c>
      <c r="L1818" s="45"/>
      <c r="M1818" s="45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  <c r="AC1818" s="26"/>
      <c r="AD1818" s="26"/>
      <c r="AE1818" s="26"/>
      <c r="AF1818" s="26"/>
      <c r="AG1818" s="26"/>
      <c r="AH1818" s="26"/>
      <c r="AI1818" s="26"/>
      <c r="AJ1818" s="26"/>
      <c r="AK1818" s="2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</row>
    <row r="1819">
      <c r="A1819" s="16" t="str">
        <f t="shared" si="14"/>
        <v/>
      </c>
      <c r="B1819" s="16" t="str">
        <f t="shared" si="15"/>
        <v/>
      </c>
      <c r="C1819" s="35" t="str">
        <f t="shared" si="16"/>
        <v/>
      </c>
      <c r="D1819" s="35" t="str">
        <f t="shared" si="17"/>
        <v/>
      </c>
      <c r="E1819" s="35" t="str">
        <f t="shared" si="18"/>
        <v/>
      </c>
      <c r="F1819" s="35" t="str">
        <f t="shared" si="19"/>
        <v/>
      </c>
      <c r="G1819" s="35" t="str">
        <f t="shared" si="20"/>
        <v/>
      </c>
      <c r="H1819" s="49"/>
      <c r="I1819" s="47" t="str">
        <f t="shared" si="21"/>
        <v/>
      </c>
      <c r="J1819" s="50"/>
      <c r="K1819" s="45" t="b">
        <v>0</v>
      </c>
      <c r="L1819" s="45"/>
      <c r="M1819" s="45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6"/>
      <c r="AJ1819" s="26"/>
      <c r="AK1819" s="2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</row>
    <row r="1820">
      <c r="A1820" s="16" t="str">
        <f t="shared" si="14"/>
        <v/>
      </c>
      <c r="B1820" s="16" t="str">
        <f t="shared" si="15"/>
        <v/>
      </c>
      <c r="C1820" s="35" t="str">
        <f t="shared" si="16"/>
        <v/>
      </c>
      <c r="D1820" s="35" t="str">
        <f t="shared" si="17"/>
        <v/>
      </c>
      <c r="E1820" s="35" t="str">
        <f t="shared" si="18"/>
        <v/>
      </c>
      <c r="F1820" s="35" t="str">
        <f t="shared" si="19"/>
        <v/>
      </c>
      <c r="G1820" s="35" t="str">
        <f t="shared" si="20"/>
        <v/>
      </c>
      <c r="H1820" s="49"/>
      <c r="I1820" s="47" t="str">
        <f t="shared" si="21"/>
        <v/>
      </c>
      <c r="J1820" s="50"/>
      <c r="K1820" s="45" t="b">
        <v>0</v>
      </c>
      <c r="L1820" s="45"/>
      <c r="M1820" s="45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  <c r="AC1820" s="26"/>
      <c r="AD1820" s="26"/>
      <c r="AE1820" s="26"/>
      <c r="AF1820" s="26"/>
      <c r="AG1820" s="26"/>
      <c r="AH1820" s="26"/>
      <c r="AI1820" s="26"/>
      <c r="AJ1820" s="26"/>
      <c r="AK1820" s="2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</row>
    <row r="1821">
      <c r="A1821" s="16" t="str">
        <f t="shared" si="14"/>
        <v/>
      </c>
      <c r="B1821" s="16" t="str">
        <f t="shared" si="15"/>
        <v/>
      </c>
      <c r="C1821" s="35" t="str">
        <f t="shared" si="16"/>
        <v/>
      </c>
      <c r="D1821" s="35" t="str">
        <f t="shared" si="17"/>
        <v/>
      </c>
      <c r="E1821" s="35" t="str">
        <f t="shared" si="18"/>
        <v/>
      </c>
      <c r="F1821" s="35" t="str">
        <f t="shared" si="19"/>
        <v/>
      </c>
      <c r="G1821" s="35" t="str">
        <f t="shared" si="20"/>
        <v/>
      </c>
      <c r="H1821" s="49"/>
      <c r="I1821" s="47" t="str">
        <f t="shared" si="21"/>
        <v/>
      </c>
      <c r="J1821" s="50"/>
      <c r="K1821" s="45" t="b">
        <v>0</v>
      </c>
      <c r="L1821" s="45"/>
      <c r="M1821" s="45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  <c r="AC1821" s="26"/>
      <c r="AD1821" s="26"/>
      <c r="AE1821" s="26"/>
      <c r="AF1821" s="26"/>
      <c r="AG1821" s="26"/>
      <c r="AH1821" s="26"/>
      <c r="AI1821" s="26"/>
      <c r="AJ1821" s="26"/>
      <c r="AK1821" s="2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</row>
    <row r="1822">
      <c r="A1822" s="16" t="str">
        <f t="shared" si="14"/>
        <v/>
      </c>
      <c r="B1822" s="16" t="str">
        <f t="shared" si="15"/>
        <v/>
      </c>
      <c r="C1822" s="35" t="str">
        <f t="shared" si="16"/>
        <v/>
      </c>
      <c r="D1822" s="35" t="str">
        <f t="shared" si="17"/>
        <v/>
      </c>
      <c r="E1822" s="35" t="str">
        <f t="shared" si="18"/>
        <v/>
      </c>
      <c r="F1822" s="35" t="str">
        <f t="shared" si="19"/>
        <v/>
      </c>
      <c r="G1822" s="35" t="str">
        <f t="shared" si="20"/>
        <v/>
      </c>
      <c r="H1822" s="49"/>
      <c r="I1822" s="47" t="str">
        <f t="shared" si="21"/>
        <v/>
      </c>
      <c r="J1822" s="50"/>
      <c r="K1822" s="45" t="b">
        <v>0</v>
      </c>
      <c r="L1822" s="45"/>
      <c r="M1822" s="45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  <c r="AC1822" s="26"/>
      <c r="AD1822" s="26"/>
      <c r="AE1822" s="26"/>
      <c r="AF1822" s="26"/>
      <c r="AG1822" s="26"/>
      <c r="AH1822" s="26"/>
      <c r="AI1822" s="26"/>
      <c r="AJ1822" s="26"/>
      <c r="AK1822" s="2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</row>
    <row r="1823">
      <c r="A1823" s="16" t="str">
        <f t="shared" si="14"/>
        <v/>
      </c>
      <c r="B1823" s="16" t="str">
        <f t="shared" si="15"/>
        <v/>
      </c>
      <c r="C1823" s="35" t="str">
        <f t="shared" si="16"/>
        <v/>
      </c>
      <c r="D1823" s="35" t="str">
        <f t="shared" si="17"/>
        <v/>
      </c>
      <c r="E1823" s="35" t="str">
        <f t="shared" si="18"/>
        <v/>
      </c>
      <c r="F1823" s="35" t="str">
        <f t="shared" si="19"/>
        <v/>
      </c>
      <c r="G1823" s="35" t="str">
        <f t="shared" si="20"/>
        <v/>
      </c>
      <c r="H1823" s="49"/>
      <c r="I1823" s="47" t="str">
        <f t="shared" si="21"/>
        <v/>
      </c>
      <c r="J1823" s="50"/>
      <c r="K1823" s="45" t="b">
        <v>0</v>
      </c>
      <c r="L1823" s="45"/>
      <c r="M1823" s="45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  <c r="AD1823" s="26"/>
      <c r="AE1823" s="26"/>
      <c r="AF1823" s="26"/>
      <c r="AG1823" s="26"/>
      <c r="AH1823" s="26"/>
      <c r="AI1823" s="26"/>
      <c r="AJ1823" s="26"/>
      <c r="AK1823" s="2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</row>
    <row r="1824">
      <c r="A1824" s="16" t="str">
        <f t="shared" si="14"/>
        <v/>
      </c>
      <c r="B1824" s="16" t="str">
        <f t="shared" si="15"/>
        <v/>
      </c>
      <c r="C1824" s="35" t="str">
        <f t="shared" si="16"/>
        <v/>
      </c>
      <c r="D1824" s="35" t="str">
        <f t="shared" si="17"/>
        <v/>
      </c>
      <c r="E1824" s="35" t="str">
        <f t="shared" si="18"/>
        <v/>
      </c>
      <c r="F1824" s="35" t="str">
        <f t="shared" si="19"/>
        <v/>
      </c>
      <c r="G1824" s="35" t="str">
        <f t="shared" si="20"/>
        <v/>
      </c>
      <c r="H1824" s="49"/>
      <c r="I1824" s="47" t="str">
        <f t="shared" si="21"/>
        <v/>
      </c>
      <c r="J1824" s="50"/>
      <c r="K1824" s="45" t="b">
        <v>0</v>
      </c>
      <c r="L1824" s="45"/>
      <c r="M1824" s="45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</row>
    <row r="1825">
      <c r="A1825" s="16" t="str">
        <f t="shared" si="14"/>
        <v/>
      </c>
      <c r="B1825" s="16" t="str">
        <f t="shared" si="15"/>
        <v/>
      </c>
      <c r="C1825" s="35" t="str">
        <f t="shared" si="16"/>
        <v/>
      </c>
      <c r="D1825" s="35" t="str">
        <f t="shared" si="17"/>
        <v/>
      </c>
      <c r="E1825" s="35" t="str">
        <f t="shared" si="18"/>
        <v/>
      </c>
      <c r="F1825" s="35" t="str">
        <f t="shared" si="19"/>
        <v/>
      </c>
      <c r="G1825" s="35" t="str">
        <f t="shared" si="20"/>
        <v/>
      </c>
      <c r="H1825" s="49"/>
      <c r="I1825" s="47" t="str">
        <f t="shared" si="21"/>
        <v/>
      </c>
      <c r="J1825" s="50"/>
      <c r="K1825" s="45" t="b">
        <v>0</v>
      </c>
      <c r="L1825" s="45"/>
      <c r="M1825" s="45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</row>
    <row r="1826">
      <c r="A1826" s="16" t="str">
        <f t="shared" si="14"/>
        <v/>
      </c>
      <c r="B1826" s="16" t="str">
        <f t="shared" si="15"/>
        <v/>
      </c>
      <c r="C1826" s="35" t="str">
        <f t="shared" si="16"/>
        <v/>
      </c>
      <c r="D1826" s="35" t="str">
        <f t="shared" si="17"/>
        <v/>
      </c>
      <c r="E1826" s="35" t="str">
        <f t="shared" si="18"/>
        <v/>
      </c>
      <c r="F1826" s="35" t="str">
        <f t="shared" si="19"/>
        <v/>
      </c>
      <c r="G1826" s="35" t="str">
        <f t="shared" si="20"/>
        <v/>
      </c>
      <c r="H1826" s="49"/>
      <c r="I1826" s="47" t="str">
        <f t="shared" si="21"/>
        <v/>
      </c>
      <c r="J1826" s="50"/>
      <c r="K1826" s="45" t="b">
        <v>0</v>
      </c>
      <c r="L1826" s="45"/>
      <c r="M1826" s="45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26"/>
      <c r="AH1826" s="26"/>
      <c r="AI1826" s="26"/>
      <c r="AJ1826" s="26"/>
      <c r="AK1826" s="2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</row>
    <row r="1827">
      <c r="A1827" s="16" t="str">
        <f t="shared" si="14"/>
        <v/>
      </c>
      <c r="B1827" s="16" t="str">
        <f t="shared" si="15"/>
        <v/>
      </c>
      <c r="C1827" s="35" t="str">
        <f t="shared" si="16"/>
        <v/>
      </c>
      <c r="D1827" s="35" t="str">
        <f t="shared" si="17"/>
        <v/>
      </c>
      <c r="E1827" s="35" t="str">
        <f t="shared" si="18"/>
        <v/>
      </c>
      <c r="F1827" s="35" t="str">
        <f t="shared" si="19"/>
        <v/>
      </c>
      <c r="G1827" s="35" t="str">
        <f t="shared" si="20"/>
        <v/>
      </c>
      <c r="H1827" s="49"/>
      <c r="I1827" s="47" t="str">
        <f t="shared" si="21"/>
        <v/>
      </c>
      <c r="J1827" s="50"/>
      <c r="K1827" s="45" t="b">
        <v>0</v>
      </c>
      <c r="L1827" s="45"/>
      <c r="M1827" s="45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</row>
    <row r="1828">
      <c r="A1828" s="16" t="str">
        <f t="shared" si="14"/>
        <v/>
      </c>
      <c r="B1828" s="16" t="str">
        <f t="shared" si="15"/>
        <v/>
      </c>
      <c r="C1828" s="35" t="str">
        <f t="shared" si="16"/>
        <v/>
      </c>
      <c r="D1828" s="35" t="str">
        <f t="shared" si="17"/>
        <v/>
      </c>
      <c r="E1828" s="35" t="str">
        <f t="shared" si="18"/>
        <v/>
      </c>
      <c r="F1828" s="35" t="str">
        <f t="shared" si="19"/>
        <v/>
      </c>
      <c r="G1828" s="35" t="str">
        <f t="shared" si="20"/>
        <v/>
      </c>
      <c r="H1828" s="49"/>
      <c r="I1828" s="47" t="str">
        <f t="shared" si="21"/>
        <v/>
      </c>
      <c r="J1828" s="50"/>
      <c r="K1828" s="45" t="b">
        <v>0</v>
      </c>
      <c r="L1828" s="45"/>
      <c r="M1828" s="45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  <c r="AD1828" s="26"/>
      <c r="AE1828" s="26"/>
      <c r="AF1828" s="26"/>
      <c r="AG1828" s="26"/>
      <c r="AH1828" s="26"/>
      <c r="AI1828" s="26"/>
      <c r="AJ1828" s="26"/>
      <c r="AK1828" s="2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</row>
    <row r="1829">
      <c r="A1829" s="16" t="str">
        <f t="shared" si="14"/>
        <v/>
      </c>
      <c r="B1829" s="16" t="str">
        <f t="shared" si="15"/>
        <v/>
      </c>
      <c r="C1829" s="35" t="str">
        <f t="shared" si="16"/>
        <v/>
      </c>
      <c r="D1829" s="35" t="str">
        <f t="shared" si="17"/>
        <v/>
      </c>
      <c r="E1829" s="35" t="str">
        <f t="shared" si="18"/>
        <v/>
      </c>
      <c r="F1829" s="35" t="str">
        <f t="shared" si="19"/>
        <v/>
      </c>
      <c r="G1829" s="35" t="str">
        <f t="shared" si="20"/>
        <v/>
      </c>
      <c r="H1829" s="49"/>
      <c r="I1829" s="47" t="str">
        <f t="shared" si="21"/>
        <v/>
      </c>
      <c r="J1829" s="50"/>
      <c r="K1829" s="45" t="b">
        <v>0</v>
      </c>
      <c r="L1829" s="45"/>
      <c r="M1829" s="45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</row>
    <row r="1830">
      <c r="A1830" s="16" t="str">
        <f t="shared" si="14"/>
        <v/>
      </c>
      <c r="B1830" s="16" t="str">
        <f t="shared" si="15"/>
        <v/>
      </c>
      <c r="C1830" s="35" t="str">
        <f t="shared" si="16"/>
        <v/>
      </c>
      <c r="D1830" s="35" t="str">
        <f t="shared" si="17"/>
        <v/>
      </c>
      <c r="E1830" s="35" t="str">
        <f t="shared" si="18"/>
        <v/>
      </c>
      <c r="F1830" s="35" t="str">
        <f t="shared" si="19"/>
        <v/>
      </c>
      <c r="G1830" s="35" t="str">
        <f t="shared" si="20"/>
        <v/>
      </c>
      <c r="H1830" s="49"/>
      <c r="I1830" s="47" t="str">
        <f t="shared" si="21"/>
        <v/>
      </c>
      <c r="J1830" s="50"/>
      <c r="K1830" s="45" t="b">
        <v>0</v>
      </c>
      <c r="L1830" s="45"/>
      <c r="M1830" s="45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6"/>
      <c r="AI1830" s="26"/>
      <c r="AJ1830" s="26"/>
      <c r="AK1830" s="2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</row>
    <row r="1831">
      <c r="A1831" s="16" t="str">
        <f t="shared" si="14"/>
        <v/>
      </c>
      <c r="B1831" s="16" t="str">
        <f t="shared" si="15"/>
        <v/>
      </c>
      <c r="C1831" s="35" t="str">
        <f t="shared" si="16"/>
        <v/>
      </c>
      <c r="D1831" s="35" t="str">
        <f t="shared" si="17"/>
        <v/>
      </c>
      <c r="E1831" s="35" t="str">
        <f t="shared" si="18"/>
        <v/>
      </c>
      <c r="F1831" s="35" t="str">
        <f t="shared" si="19"/>
        <v/>
      </c>
      <c r="G1831" s="35" t="str">
        <f t="shared" si="20"/>
        <v/>
      </c>
      <c r="H1831" s="49"/>
      <c r="I1831" s="47" t="str">
        <f t="shared" si="21"/>
        <v/>
      </c>
      <c r="J1831" s="50"/>
      <c r="K1831" s="45" t="b">
        <v>0</v>
      </c>
      <c r="L1831" s="45"/>
      <c r="M1831" s="45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  <c r="AD1831" s="26"/>
      <c r="AE1831" s="26"/>
      <c r="AF1831" s="26"/>
      <c r="AG1831" s="26"/>
      <c r="AH1831" s="26"/>
      <c r="AI1831" s="26"/>
      <c r="AJ1831" s="26"/>
      <c r="AK1831" s="2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</row>
    <row r="1832">
      <c r="A1832" s="16" t="str">
        <f t="shared" si="14"/>
        <v/>
      </c>
      <c r="B1832" s="16" t="str">
        <f t="shared" si="15"/>
        <v/>
      </c>
      <c r="C1832" s="35" t="str">
        <f t="shared" si="16"/>
        <v/>
      </c>
      <c r="D1832" s="35" t="str">
        <f t="shared" si="17"/>
        <v/>
      </c>
      <c r="E1832" s="35" t="str">
        <f t="shared" si="18"/>
        <v/>
      </c>
      <c r="F1832" s="35" t="str">
        <f t="shared" si="19"/>
        <v/>
      </c>
      <c r="G1832" s="35" t="str">
        <f t="shared" si="20"/>
        <v/>
      </c>
      <c r="H1832" s="49"/>
      <c r="I1832" s="47" t="str">
        <f t="shared" si="21"/>
        <v/>
      </c>
      <c r="J1832" s="50"/>
      <c r="K1832" s="45" t="b">
        <v>0</v>
      </c>
      <c r="L1832" s="45"/>
      <c r="M1832" s="45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  <c r="AC1832" s="26"/>
      <c r="AD1832" s="26"/>
      <c r="AE1832" s="26"/>
      <c r="AF1832" s="26"/>
      <c r="AG1832" s="26"/>
      <c r="AH1832" s="26"/>
      <c r="AI1832" s="26"/>
      <c r="AJ1832" s="26"/>
      <c r="AK1832" s="2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</row>
    <row r="1833">
      <c r="A1833" s="16" t="str">
        <f t="shared" si="14"/>
        <v/>
      </c>
      <c r="B1833" s="16" t="str">
        <f t="shared" si="15"/>
        <v/>
      </c>
      <c r="C1833" s="35" t="str">
        <f t="shared" si="16"/>
        <v/>
      </c>
      <c r="D1833" s="35" t="str">
        <f t="shared" si="17"/>
        <v/>
      </c>
      <c r="E1833" s="35" t="str">
        <f t="shared" si="18"/>
        <v/>
      </c>
      <c r="F1833" s="35" t="str">
        <f t="shared" si="19"/>
        <v/>
      </c>
      <c r="G1833" s="35" t="str">
        <f t="shared" si="20"/>
        <v/>
      </c>
      <c r="H1833" s="49"/>
      <c r="I1833" s="47" t="str">
        <f t="shared" si="21"/>
        <v/>
      </c>
      <c r="J1833" s="50"/>
      <c r="K1833" s="45" t="b">
        <v>0</v>
      </c>
      <c r="L1833" s="45"/>
      <c r="M1833" s="45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26"/>
      <c r="AD1833" s="26"/>
      <c r="AE1833" s="26"/>
      <c r="AF1833" s="26"/>
      <c r="AG1833" s="26"/>
      <c r="AH1833" s="26"/>
      <c r="AI1833" s="26"/>
      <c r="AJ1833" s="26"/>
      <c r="AK1833" s="2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</row>
    <row r="1834">
      <c r="A1834" s="16" t="str">
        <f t="shared" si="14"/>
        <v/>
      </c>
      <c r="B1834" s="16" t="str">
        <f t="shared" si="15"/>
        <v/>
      </c>
      <c r="C1834" s="35" t="str">
        <f t="shared" si="16"/>
        <v/>
      </c>
      <c r="D1834" s="35" t="str">
        <f t="shared" si="17"/>
        <v/>
      </c>
      <c r="E1834" s="35" t="str">
        <f t="shared" si="18"/>
        <v/>
      </c>
      <c r="F1834" s="35" t="str">
        <f t="shared" si="19"/>
        <v/>
      </c>
      <c r="G1834" s="35" t="str">
        <f t="shared" si="20"/>
        <v/>
      </c>
      <c r="H1834" s="49"/>
      <c r="I1834" s="47" t="str">
        <f t="shared" si="21"/>
        <v/>
      </c>
      <c r="J1834" s="50"/>
      <c r="K1834" s="45" t="b">
        <v>0</v>
      </c>
      <c r="L1834" s="45"/>
      <c r="M1834" s="45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  <c r="AD1834" s="26"/>
      <c r="AE1834" s="26"/>
      <c r="AF1834" s="26"/>
      <c r="AG1834" s="26"/>
      <c r="AH1834" s="26"/>
      <c r="AI1834" s="26"/>
      <c r="AJ1834" s="26"/>
      <c r="AK1834" s="2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</row>
    <row r="1835">
      <c r="A1835" s="16" t="str">
        <f t="shared" si="14"/>
        <v/>
      </c>
      <c r="B1835" s="16" t="str">
        <f t="shared" si="15"/>
        <v/>
      </c>
      <c r="C1835" s="35" t="str">
        <f t="shared" si="16"/>
        <v/>
      </c>
      <c r="D1835" s="35" t="str">
        <f t="shared" si="17"/>
        <v/>
      </c>
      <c r="E1835" s="35" t="str">
        <f t="shared" si="18"/>
        <v/>
      </c>
      <c r="F1835" s="35" t="str">
        <f t="shared" si="19"/>
        <v/>
      </c>
      <c r="G1835" s="35" t="str">
        <f t="shared" si="20"/>
        <v/>
      </c>
      <c r="H1835" s="49"/>
      <c r="I1835" s="47" t="str">
        <f t="shared" si="21"/>
        <v/>
      </c>
      <c r="J1835" s="50"/>
      <c r="K1835" s="45" t="b">
        <v>0</v>
      </c>
      <c r="L1835" s="45"/>
      <c r="M1835" s="45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46"/>
      <c r="BM1835" s="46"/>
      <c r="BN1835" s="46"/>
      <c r="BO1835" s="46"/>
    </row>
    <row r="1836">
      <c r="A1836" s="16" t="str">
        <f t="shared" si="14"/>
        <v/>
      </c>
      <c r="B1836" s="16" t="str">
        <f t="shared" si="15"/>
        <v/>
      </c>
      <c r="C1836" s="35" t="str">
        <f t="shared" si="16"/>
        <v/>
      </c>
      <c r="D1836" s="35" t="str">
        <f t="shared" si="17"/>
        <v/>
      </c>
      <c r="E1836" s="35" t="str">
        <f t="shared" si="18"/>
        <v/>
      </c>
      <c r="F1836" s="35" t="str">
        <f t="shared" si="19"/>
        <v/>
      </c>
      <c r="G1836" s="35" t="str">
        <f t="shared" si="20"/>
        <v/>
      </c>
      <c r="H1836" s="49"/>
      <c r="I1836" s="47" t="str">
        <f t="shared" si="21"/>
        <v/>
      </c>
      <c r="J1836" s="50"/>
      <c r="K1836" s="45" t="b">
        <v>0</v>
      </c>
      <c r="L1836" s="45"/>
      <c r="M1836" s="45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  <c r="AC1836" s="26"/>
      <c r="AD1836" s="26"/>
      <c r="AE1836" s="26"/>
      <c r="AF1836" s="26"/>
      <c r="AG1836" s="26"/>
      <c r="AH1836" s="26"/>
      <c r="AI1836" s="26"/>
      <c r="AJ1836" s="26"/>
      <c r="AK1836" s="2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</row>
    <row r="1837">
      <c r="A1837" s="16" t="str">
        <f t="shared" si="14"/>
        <v/>
      </c>
      <c r="B1837" s="16" t="str">
        <f t="shared" si="15"/>
        <v/>
      </c>
      <c r="C1837" s="35" t="str">
        <f t="shared" si="16"/>
        <v/>
      </c>
      <c r="D1837" s="35" t="str">
        <f t="shared" si="17"/>
        <v/>
      </c>
      <c r="E1837" s="35" t="str">
        <f t="shared" si="18"/>
        <v/>
      </c>
      <c r="F1837" s="35" t="str">
        <f t="shared" si="19"/>
        <v/>
      </c>
      <c r="G1837" s="35" t="str">
        <f t="shared" si="20"/>
        <v/>
      </c>
      <c r="H1837" s="49"/>
      <c r="I1837" s="47" t="str">
        <f t="shared" si="21"/>
        <v/>
      </c>
      <c r="J1837" s="50"/>
      <c r="K1837" s="45" t="b">
        <v>0</v>
      </c>
      <c r="L1837" s="45"/>
      <c r="M1837" s="45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  <c r="AC1837" s="26"/>
      <c r="AD1837" s="26"/>
      <c r="AE1837" s="26"/>
      <c r="AF1837" s="26"/>
      <c r="AG1837" s="26"/>
      <c r="AH1837" s="26"/>
      <c r="AI1837" s="26"/>
      <c r="AJ1837" s="26"/>
      <c r="AK1837" s="2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</row>
    <row r="1838">
      <c r="A1838" s="16" t="str">
        <f t="shared" si="14"/>
        <v/>
      </c>
      <c r="B1838" s="16" t="str">
        <f t="shared" si="15"/>
        <v/>
      </c>
      <c r="C1838" s="35" t="str">
        <f t="shared" si="16"/>
        <v/>
      </c>
      <c r="D1838" s="35" t="str">
        <f t="shared" si="17"/>
        <v/>
      </c>
      <c r="E1838" s="35" t="str">
        <f t="shared" si="18"/>
        <v/>
      </c>
      <c r="F1838" s="35" t="str">
        <f t="shared" si="19"/>
        <v/>
      </c>
      <c r="G1838" s="35" t="str">
        <f t="shared" si="20"/>
        <v/>
      </c>
      <c r="H1838" s="49"/>
      <c r="I1838" s="47" t="str">
        <f t="shared" si="21"/>
        <v/>
      </c>
      <c r="J1838" s="50"/>
      <c r="K1838" s="45" t="b">
        <v>0</v>
      </c>
      <c r="L1838" s="45"/>
      <c r="M1838" s="45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6"/>
      <c r="AJ1838" s="26"/>
      <c r="AK1838" s="2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</row>
    <row r="1839">
      <c r="A1839" s="16" t="str">
        <f t="shared" si="14"/>
        <v/>
      </c>
      <c r="B1839" s="16" t="str">
        <f t="shared" si="15"/>
        <v/>
      </c>
      <c r="C1839" s="35" t="str">
        <f t="shared" si="16"/>
        <v/>
      </c>
      <c r="D1839" s="35" t="str">
        <f t="shared" si="17"/>
        <v/>
      </c>
      <c r="E1839" s="35" t="str">
        <f t="shared" si="18"/>
        <v/>
      </c>
      <c r="F1839" s="35" t="str">
        <f t="shared" si="19"/>
        <v/>
      </c>
      <c r="G1839" s="35" t="str">
        <f t="shared" si="20"/>
        <v/>
      </c>
      <c r="H1839" s="49"/>
      <c r="I1839" s="47" t="str">
        <f t="shared" si="21"/>
        <v/>
      </c>
      <c r="J1839" s="50"/>
      <c r="K1839" s="45" t="b">
        <v>0</v>
      </c>
      <c r="L1839" s="45"/>
      <c r="M1839" s="45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  <c r="AC1839" s="26"/>
      <c r="AD1839" s="26"/>
      <c r="AE1839" s="26"/>
      <c r="AF1839" s="26"/>
      <c r="AG1839" s="26"/>
      <c r="AH1839" s="26"/>
      <c r="AI1839" s="26"/>
      <c r="AJ1839" s="26"/>
      <c r="AK1839" s="2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</row>
    <row r="1840">
      <c r="A1840" s="16" t="str">
        <f t="shared" si="14"/>
        <v/>
      </c>
      <c r="B1840" s="16" t="str">
        <f t="shared" si="15"/>
        <v/>
      </c>
      <c r="C1840" s="35" t="str">
        <f t="shared" si="16"/>
        <v/>
      </c>
      <c r="D1840" s="35" t="str">
        <f t="shared" si="17"/>
        <v/>
      </c>
      <c r="E1840" s="35" t="str">
        <f t="shared" si="18"/>
        <v/>
      </c>
      <c r="F1840" s="35" t="str">
        <f t="shared" si="19"/>
        <v/>
      </c>
      <c r="G1840" s="35" t="str">
        <f t="shared" si="20"/>
        <v/>
      </c>
      <c r="H1840" s="49"/>
      <c r="I1840" s="47" t="str">
        <f t="shared" si="21"/>
        <v/>
      </c>
      <c r="J1840" s="50"/>
      <c r="K1840" s="45" t="b">
        <v>0</v>
      </c>
      <c r="L1840" s="45"/>
      <c r="M1840" s="45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  <c r="AC1840" s="26"/>
      <c r="AD1840" s="26"/>
      <c r="AE1840" s="26"/>
      <c r="AF1840" s="26"/>
      <c r="AG1840" s="26"/>
      <c r="AH1840" s="26"/>
      <c r="AI1840" s="26"/>
      <c r="AJ1840" s="26"/>
      <c r="AK1840" s="2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</row>
    <row r="1841">
      <c r="A1841" s="16" t="str">
        <f t="shared" si="14"/>
        <v/>
      </c>
      <c r="B1841" s="16" t="str">
        <f t="shared" si="15"/>
        <v/>
      </c>
      <c r="C1841" s="35" t="str">
        <f t="shared" si="16"/>
        <v/>
      </c>
      <c r="D1841" s="35" t="str">
        <f t="shared" si="17"/>
        <v/>
      </c>
      <c r="E1841" s="35" t="str">
        <f t="shared" si="18"/>
        <v/>
      </c>
      <c r="F1841" s="35" t="str">
        <f t="shared" si="19"/>
        <v/>
      </c>
      <c r="G1841" s="35" t="str">
        <f t="shared" si="20"/>
        <v/>
      </c>
      <c r="H1841" s="49"/>
      <c r="I1841" s="47" t="str">
        <f t="shared" si="21"/>
        <v/>
      </c>
      <c r="J1841" s="50"/>
      <c r="K1841" s="45" t="b">
        <v>0</v>
      </c>
      <c r="L1841" s="45"/>
      <c r="M1841" s="45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</row>
    <row r="1842">
      <c r="A1842" s="16" t="str">
        <f t="shared" si="14"/>
        <v/>
      </c>
      <c r="B1842" s="16" t="str">
        <f t="shared" si="15"/>
        <v/>
      </c>
      <c r="C1842" s="35" t="str">
        <f t="shared" si="16"/>
        <v/>
      </c>
      <c r="D1842" s="35" t="str">
        <f t="shared" si="17"/>
        <v/>
      </c>
      <c r="E1842" s="35" t="str">
        <f t="shared" si="18"/>
        <v/>
      </c>
      <c r="F1842" s="35" t="str">
        <f t="shared" si="19"/>
        <v/>
      </c>
      <c r="G1842" s="35" t="str">
        <f t="shared" si="20"/>
        <v/>
      </c>
      <c r="H1842" s="49"/>
      <c r="I1842" s="47" t="str">
        <f t="shared" si="21"/>
        <v/>
      </c>
      <c r="J1842" s="50"/>
      <c r="K1842" s="45" t="b">
        <v>0</v>
      </c>
      <c r="L1842" s="45"/>
      <c r="M1842" s="45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  <c r="AD1842" s="26"/>
      <c r="AE1842" s="26"/>
      <c r="AF1842" s="26"/>
      <c r="AG1842" s="26"/>
      <c r="AH1842" s="26"/>
      <c r="AI1842" s="26"/>
      <c r="AJ1842" s="26"/>
      <c r="AK1842" s="2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</row>
    <row r="1843">
      <c r="A1843" s="16" t="str">
        <f t="shared" si="14"/>
        <v/>
      </c>
      <c r="B1843" s="16" t="str">
        <f t="shared" si="15"/>
        <v/>
      </c>
      <c r="C1843" s="35" t="str">
        <f t="shared" si="16"/>
        <v/>
      </c>
      <c r="D1843" s="35" t="str">
        <f t="shared" si="17"/>
        <v/>
      </c>
      <c r="E1843" s="35" t="str">
        <f t="shared" si="18"/>
        <v/>
      </c>
      <c r="F1843" s="35" t="str">
        <f t="shared" si="19"/>
        <v/>
      </c>
      <c r="G1843" s="35" t="str">
        <f t="shared" si="20"/>
        <v/>
      </c>
      <c r="H1843" s="49"/>
      <c r="I1843" s="47" t="str">
        <f t="shared" si="21"/>
        <v/>
      </c>
      <c r="J1843" s="50"/>
      <c r="K1843" s="45" t="b">
        <v>0</v>
      </c>
      <c r="L1843" s="45"/>
      <c r="M1843" s="45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  <c r="AD1843" s="26"/>
      <c r="AE1843" s="26"/>
      <c r="AF1843" s="26"/>
      <c r="AG1843" s="26"/>
      <c r="AH1843" s="26"/>
      <c r="AI1843" s="26"/>
      <c r="AJ1843" s="26"/>
      <c r="AK1843" s="2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</row>
    <row r="1844">
      <c r="A1844" s="16" t="str">
        <f t="shared" si="14"/>
        <v/>
      </c>
      <c r="B1844" s="16" t="str">
        <f t="shared" si="15"/>
        <v/>
      </c>
      <c r="C1844" s="35" t="str">
        <f t="shared" si="16"/>
        <v/>
      </c>
      <c r="D1844" s="35" t="str">
        <f t="shared" si="17"/>
        <v/>
      </c>
      <c r="E1844" s="35" t="str">
        <f t="shared" si="18"/>
        <v/>
      </c>
      <c r="F1844" s="35" t="str">
        <f t="shared" si="19"/>
        <v/>
      </c>
      <c r="G1844" s="35" t="str">
        <f t="shared" si="20"/>
        <v/>
      </c>
      <c r="H1844" s="49"/>
      <c r="I1844" s="47" t="str">
        <f t="shared" si="21"/>
        <v/>
      </c>
      <c r="J1844" s="50"/>
      <c r="K1844" s="45" t="b">
        <v>0</v>
      </c>
      <c r="L1844" s="45"/>
      <c r="M1844" s="45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</row>
    <row r="1845">
      <c r="A1845" s="16" t="str">
        <f t="shared" si="14"/>
        <v/>
      </c>
      <c r="B1845" s="16" t="str">
        <f t="shared" si="15"/>
        <v/>
      </c>
      <c r="C1845" s="35" t="str">
        <f t="shared" si="16"/>
        <v/>
      </c>
      <c r="D1845" s="35" t="str">
        <f t="shared" si="17"/>
        <v/>
      </c>
      <c r="E1845" s="35" t="str">
        <f t="shared" si="18"/>
        <v/>
      </c>
      <c r="F1845" s="35" t="str">
        <f t="shared" si="19"/>
        <v/>
      </c>
      <c r="G1845" s="35" t="str">
        <f t="shared" si="20"/>
        <v/>
      </c>
      <c r="H1845" s="49"/>
      <c r="I1845" s="47" t="str">
        <f t="shared" si="21"/>
        <v/>
      </c>
      <c r="J1845" s="50"/>
      <c r="K1845" s="45" t="b">
        <v>0</v>
      </c>
      <c r="L1845" s="45"/>
      <c r="M1845" s="45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</row>
    <row r="1846">
      <c r="A1846" s="16" t="str">
        <f t="shared" si="14"/>
        <v/>
      </c>
      <c r="B1846" s="16" t="str">
        <f t="shared" si="15"/>
        <v/>
      </c>
      <c r="C1846" s="35" t="str">
        <f t="shared" si="16"/>
        <v/>
      </c>
      <c r="D1846" s="35" t="str">
        <f t="shared" si="17"/>
        <v/>
      </c>
      <c r="E1846" s="35" t="str">
        <f t="shared" si="18"/>
        <v/>
      </c>
      <c r="F1846" s="35" t="str">
        <f t="shared" si="19"/>
        <v/>
      </c>
      <c r="G1846" s="35" t="str">
        <f t="shared" si="20"/>
        <v/>
      </c>
      <c r="H1846" s="49"/>
      <c r="I1846" s="47" t="str">
        <f t="shared" si="21"/>
        <v/>
      </c>
      <c r="J1846" s="50"/>
      <c r="K1846" s="45" t="b">
        <v>0</v>
      </c>
      <c r="L1846" s="45"/>
      <c r="M1846" s="45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</row>
    <row r="1847">
      <c r="A1847" s="16" t="str">
        <f t="shared" si="14"/>
        <v/>
      </c>
      <c r="B1847" s="16" t="str">
        <f t="shared" si="15"/>
        <v/>
      </c>
      <c r="C1847" s="35" t="str">
        <f t="shared" si="16"/>
        <v/>
      </c>
      <c r="D1847" s="35" t="str">
        <f t="shared" si="17"/>
        <v/>
      </c>
      <c r="E1847" s="35" t="str">
        <f t="shared" si="18"/>
        <v/>
      </c>
      <c r="F1847" s="35" t="str">
        <f t="shared" si="19"/>
        <v/>
      </c>
      <c r="G1847" s="35" t="str">
        <f t="shared" si="20"/>
        <v/>
      </c>
      <c r="H1847" s="49"/>
      <c r="I1847" s="47" t="str">
        <f t="shared" si="21"/>
        <v/>
      </c>
      <c r="J1847" s="50"/>
      <c r="K1847" s="45" t="b">
        <v>0</v>
      </c>
      <c r="L1847" s="45"/>
      <c r="M1847" s="45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</row>
    <row r="1848">
      <c r="A1848" s="16" t="str">
        <f t="shared" si="14"/>
        <v/>
      </c>
      <c r="B1848" s="16" t="str">
        <f t="shared" si="15"/>
        <v/>
      </c>
      <c r="C1848" s="35" t="str">
        <f t="shared" si="16"/>
        <v/>
      </c>
      <c r="D1848" s="35" t="str">
        <f t="shared" si="17"/>
        <v/>
      </c>
      <c r="E1848" s="35" t="str">
        <f t="shared" si="18"/>
        <v/>
      </c>
      <c r="F1848" s="35" t="str">
        <f t="shared" si="19"/>
        <v/>
      </c>
      <c r="G1848" s="35" t="str">
        <f t="shared" si="20"/>
        <v/>
      </c>
      <c r="H1848" s="49"/>
      <c r="I1848" s="47" t="str">
        <f t="shared" si="21"/>
        <v/>
      </c>
      <c r="J1848" s="50"/>
      <c r="K1848" s="45" t="b">
        <v>0</v>
      </c>
      <c r="L1848" s="45"/>
      <c r="M1848" s="45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  <c r="AD1848" s="26"/>
      <c r="AE1848" s="26"/>
      <c r="AF1848" s="26"/>
      <c r="AG1848" s="26"/>
      <c r="AH1848" s="26"/>
      <c r="AI1848" s="26"/>
      <c r="AJ1848" s="26"/>
      <c r="AK1848" s="2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</row>
    <row r="1849">
      <c r="A1849" s="16" t="str">
        <f t="shared" si="14"/>
        <v/>
      </c>
      <c r="B1849" s="16" t="str">
        <f t="shared" si="15"/>
        <v/>
      </c>
      <c r="C1849" s="35" t="str">
        <f t="shared" si="16"/>
        <v/>
      </c>
      <c r="D1849" s="35" t="str">
        <f t="shared" si="17"/>
        <v/>
      </c>
      <c r="E1849" s="35" t="str">
        <f t="shared" si="18"/>
        <v/>
      </c>
      <c r="F1849" s="35" t="str">
        <f t="shared" si="19"/>
        <v/>
      </c>
      <c r="G1849" s="35" t="str">
        <f t="shared" si="20"/>
        <v/>
      </c>
      <c r="H1849" s="49"/>
      <c r="I1849" s="47" t="str">
        <f t="shared" si="21"/>
        <v/>
      </c>
      <c r="J1849" s="50"/>
      <c r="K1849" s="45" t="b">
        <v>0</v>
      </c>
      <c r="L1849" s="45"/>
      <c r="M1849" s="45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  <c r="AC1849" s="26"/>
      <c r="AD1849" s="26"/>
      <c r="AE1849" s="26"/>
      <c r="AF1849" s="26"/>
      <c r="AG1849" s="26"/>
      <c r="AH1849" s="26"/>
      <c r="AI1849" s="26"/>
      <c r="AJ1849" s="26"/>
      <c r="AK1849" s="2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6"/>
    </row>
    <row r="1850">
      <c r="A1850" s="16" t="str">
        <f t="shared" si="14"/>
        <v/>
      </c>
      <c r="B1850" s="16" t="str">
        <f t="shared" si="15"/>
        <v/>
      </c>
      <c r="C1850" s="35" t="str">
        <f t="shared" si="16"/>
        <v/>
      </c>
      <c r="D1850" s="35" t="str">
        <f t="shared" si="17"/>
        <v/>
      </c>
      <c r="E1850" s="35" t="str">
        <f t="shared" si="18"/>
        <v/>
      </c>
      <c r="F1850" s="35" t="str">
        <f t="shared" si="19"/>
        <v/>
      </c>
      <c r="G1850" s="35" t="str">
        <f t="shared" si="20"/>
        <v/>
      </c>
      <c r="H1850" s="49"/>
      <c r="I1850" s="47" t="str">
        <f t="shared" si="21"/>
        <v/>
      </c>
      <c r="J1850" s="50"/>
      <c r="K1850" s="45" t="b">
        <v>0</v>
      </c>
      <c r="L1850" s="45"/>
      <c r="M1850" s="45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  <c r="AD1850" s="26"/>
      <c r="AE1850" s="26"/>
      <c r="AF1850" s="26"/>
      <c r="AG1850" s="26"/>
      <c r="AH1850" s="26"/>
      <c r="AI1850" s="26"/>
      <c r="AJ1850" s="26"/>
      <c r="AK1850" s="2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</row>
    <row r="1851">
      <c r="A1851" s="16" t="str">
        <f t="shared" si="14"/>
        <v/>
      </c>
      <c r="B1851" s="16" t="str">
        <f t="shared" si="15"/>
        <v/>
      </c>
      <c r="C1851" s="35" t="str">
        <f t="shared" si="16"/>
        <v/>
      </c>
      <c r="D1851" s="35" t="str">
        <f t="shared" si="17"/>
        <v/>
      </c>
      <c r="E1851" s="35" t="str">
        <f t="shared" si="18"/>
        <v/>
      </c>
      <c r="F1851" s="35" t="str">
        <f t="shared" si="19"/>
        <v/>
      </c>
      <c r="G1851" s="35" t="str">
        <f t="shared" si="20"/>
        <v/>
      </c>
      <c r="H1851" s="49"/>
      <c r="I1851" s="47" t="str">
        <f t="shared" si="21"/>
        <v/>
      </c>
      <c r="J1851" s="50"/>
      <c r="K1851" s="45" t="b">
        <v>0</v>
      </c>
      <c r="L1851" s="45"/>
      <c r="M1851" s="45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  <c r="AC1851" s="26"/>
      <c r="AD1851" s="26"/>
      <c r="AE1851" s="26"/>
      <c r="AF1851" s="26"/>
      <c r="AG1851" s="26"/>
      <c r="AH1851" s="26"/>
      <c r="AI1851" s="26"/>
      <c r="AJ1851" s="26"/>
      <c r="AK1851" s="2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</row>
    <row r="1852">
      <c r="A1852" s="16" t="str">
        <f t="shared" si="14"/>
        <v/>
      </c>
      <c r="B1852" s="16" t="str">
        <f t="shared" si="15"/>
        <v/>
      </c>
      <c r="C1852" s="35" t="str">
        <f t="shared" si="16"/>
        <v/>
      </c>
      <c r="D1852" s="35" t="str">
        <f t="shared" si="17"/>
        <v/>
      </c>
      <c r="E1852" s="35" t="str">
        <f t="shared" si="18"/>
        <v/>
      </c>
      <c r="F1852" s="35" t="str">
        <f t="shared" si="19"/>
        <v/>
      </c>
      <c r="G1852" s="35" t="str">
        <f t="shared" si="20"/>
        <v/>
      </c>
      <c r="H1852" s="49"/>
      <c r="I1852" s="47" t="str">
        <f t="shared" si="21"/>
        <v/>
      </c>
      <c r="J1852" s="50"/>
      <c r="K1852" s="45" t="b">
        <v>0</v>
      </c>
      <c r="L1852" s="45"/>
      <c r="M1852" s="45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  <c r="AC1852" s="26"/>
      <c r="AD1852" s="26"/>
      <c r="AE1852" s="26"/>
      <c r="AF1852" s="26"/>
      <c r="AG1852" s="26"/>
      <c r="AH1852" s="26"/>
      <c r="AI1852" s="26"/>
      <c r="AJ1852" s="26"/>
      <c r="AK1852" s="2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</row>
    <row r="1853">
      <c r="A1853" s="16" t="str">
        <f t="shared" si="14"/>
        <v/>
      </c>
      <c r="B1853" s="16" t="str">
        <f t="shared" si="15"/>
        <v/>
      </c>
      <c r="C1853" s="35" t="str">
        <f t="shared" si="16"/>
        <v/>
      </c>
      <c r="D1853" s="35" t="str">
        <f t="shared" si="17"/>
        <v/>
      </c>
      <c r="E1853" s="35" t="str">
        <f t="shared" si="18"/>
        <v/>
      </c>
      <c r="F1853" s="35" t="str">
        <f t="shared" si="19"/>
        <v/>
      </c>
      <c r="G1853" s="35" t="str">
        <f t="shared" si="20"/>
        <v/>
      </c>
      <c r="H1853" s="49"/>
      <c r="I1853" s="47" t="str">
        <f t="shared" si="21"/>
        <v/>
      </c>
      <c r="J1853" s="50"/>
      <c r="K1853" s="45" t="b">
        <v>0</v>
      </c>
      <c r="L1853" s="45"/>
      <c r="M1853" s="45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  <c r="AC1853" s="26"/>
      <c r="AD1853" s="26"/>
      <c r="AE1853" s="26"/>
      <c r="AF1853" s="26"/>
      <c r="AG1853" s="26"/>
      <c r="AH1853" s="26"/>
      <c r="AI1853" s="26"/>
      <c r="AJ1853" s="26"/>
      <c r="AK1853" s="2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</row>
    <row r="1854">
      <c r="A1854" s="16" t="str">
        <f t="shared" si="14"/>
        <v/>
      </c>
      <c r="B1854" s="16" t="str">
        <f t="shared" si="15"/>
        <v/>
      </c>
      <c r="C1854" s="35" t="str">
        <f t="shared" si="16"/>
        <v/>
      </c>
      <c r="D1854" s="35" t="str">
        <f t="shared" si="17"/>
        <v/>
      </c>
      <c r="E1854" s="35" t="str">
        <f t="shared" si="18"/>
        <v/>
      </c>
      <c r="F1854" s="35" t="str">
        <f t="shared" si="19"/>
        <v/>
      </c>
      <c r="G1854" s="35" t="str">
        <f t="shared" si="20"/>
        <v/>
      </c>
      <c r="H1854" s="49"/>
      <c r="I1854" s="47" t="str">
        <f t="shared" si="21"/>
        <v/>
      </c>
      <c r="J1854" s="50"/>
      <c r="K1854" s="45" t="b">
        <v>0</v>
      </c>
      <c r="L1854" s="45"/>
      <c r="M1854" s="45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  <c r="AC1854" s="26"/>
      <c r="AD1854" s="26"/>
      <c r="AE1854" s="26"/>
      <c r="AF1854" s="26"/>
      <c r="AG1854" s="26"/>
      <c r="AH1854" s="26"/>
      <c r="AI1854" s="26"/>
      <c r="AJ1854" s="26"/>
      <c r="AK1854" s="2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</row>
    <row r="1855">
      <c r="A1855" s="16" t="str">
        <f t="shared" si="14"/>
        <v/>
      </c>
      <c r="B1855" s="16" t="str">
        <f t="shared" si="15"/>
        <v/>
      </c>
      <c r="C1855" s="35" t="str">
        <f t="shared" si="16"/>
        <v/>
      </c>
      <c r="D1855" s="35" t="str">
        <f t="shared" si="17"/>
        <v/>
      </c>
      <c r="E1855" s="35" t="str">
        <f t="shared" si="18"/>
        <v/>
      </c>
      <c r="F1855" s="35" t="str">
        <f t="shared" si="19"/>
        <v/>
      </c>
      <c r="G1855" s="35" t="str">
        <f t="shared" si="20"/>
        <v/>
      </c>
      <c r="H1855" s="49"/>
      <c r="I1855" s="47" t="str">
        <f t="shared" si="21"/>
        <v/>
      </c>
      <c r="J1855" s="50"/>
      <c r="K1855" s="45" t="b">
        <v>0</v>
      </c>
      <c r="L1855" s="45"/>
      <c r="M1855" s="45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  <c r="AC1855" s="26"/>
      <c r="AD1855" s="26"/>
      <c r="AE1855" s="26"/>
      <c r="AF1855" s="26"/>
      <c r="AG1855" s="26"/>
      <c r="AH1855" s="26"/>
      <c r="AI1855" s="26"/>
      <c r="AJ1855" s="26"/>
      <c r="AK1855" s="2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</row>
    <row r="1856">
      <c r="A1856" s="16" t="str">
        <f t="shared" si="14"/>
        <v/>
      </c>
      <c r="B1856" s="16" t="str">
        <f t="shared" si="15"/>
        <v/>
      </c>
      <c r="C1856" s="35" t="str">
        <f t="shared" si="16"/>
        <v/>
      </c>
      <c r="D1856" s="35" t="str">
        <f t="shared" si="17"/>
        <v/>
      </c>
      <c r="E1856" s="35" t="str">
        <f t="shared" si="18"/>
        <v/>
      </c>
      <c r="F1856" s="35" t="str">
        <f t="shared" si="19"/>
        <v/>
      </c>
      <c r="G1856" s="35" t="str">
        <f t="shared" si="20"/>
        <v/>
      </c>
      <c r="H1856" s="49"/>
      <c r="I1856" s="47" t="str">
        <f t="shared" si="21"/>
        <v/>
      </c>
      <c r="J1856" s="50"/>
      <c r="K1856" s="45" t="b">
        <v>0</v>
      </c>
      <c r="L1856" s="45"/>
      <c r="M1856" s="45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  <c r="AC1856" s="26"/>
      <c r="AD1856" s="26"/>
      <c r="AE1856" s="26"/>
      <c r="AF1856" s="26"/>
      <c r="AG1856" s="26"/>
      <c r="AH1856" s="26"/>
      <c r="AI1856" s="26"/>
      <c r="AJ1856" s="26"/>
      <c r="AK1856" s="2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</row>
    <row r="1857">
      <c r="A1857" s="16" t="str">
        <f t="shared" si="14"/>
        <v/>
      </c>
      <c r="B1857" s="16" t="str">
        <f t="shared" si="15"/>
        <v/>
      </c>
      <c r="C1857" s="35" t="str">
        <f t="shared" si="16"/>
        <v/>
      </c>
      <c r="D1857" s="35" t="str">
        <f t="shared" si="17"/>
        <v/>
      </c>
      <c r="E1857" s="35" t="str">
        <f t="shared" si="18"/>
        <v/>
      </c>
      <c r="F1857" s="35" t="str">
        <f t="shared" si="19"/>
        <v/>
      </c>
      <c r="G1857" s="35" t="str">
        <f t="shared" si="20"/>
        <v/>
      </c>
      <c r="H1857" s="49"/>
      <c r="I1857" s="47" t="str">
        <f t="shared" si="21"/>
        <v/>
      </c>
      <c r="J1857" s="50"/>
      <c r="K1857" s="45" t="b">
        <v>0</v>
      </c>
      <c r="L1857" s="45"/>
      <c r="M1857" s="45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  <c r="AC1857" s="26"/>
      <c r="AD1857" s="26"/>
      <c r="AE1857" s="26"/>
      <c r="AF1857" s="26"/>
      <c r="AG1857" s="26"/>
      <c r="AH1857" s="26"/>
      <c r="AI1857" s="26"/>
      <c r="AJ1857" s="26"/>
      <c r="AK1857" s="2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46"/>
      <c r="BO1857" s="46"/>
    </row>
    <row r="1858">
      <c r="A1858" s="16" t="str">
        <f t="shared" si="14"/>
        <v/>
      </c>
      <c r="B1858" s="16" t="str">
        <f t="shared" si="15"/>
        <v/>
      </c>
      <c r="C1858" s="35" t="str">
        <f t="shared" si="16"/>
        <v/>
      </c>
      <c r="D1858" s="35" t="str">
        <f t="shared" si="17"/>
        <v/>
      </c>
      <c r="E1858" s="35" t="str">
        <f t="shared" si="18"/>
        <v/>
      </c>
      <c r="F1858" s="35" t="str">
        <f t="shared" si="19"/>
        <v/>
      </c>
      <c r="G1858" s="35" t="str">
        <f t="shared" si="20"/>
        <v/>
      </c>
      <c r="H1858" s="49"/>
      <c r="I1858" s="47" t="str">
        <f t="shared" si="21"/>
        <v/>
      </c>
      <c r="J1858" s="50"/>
      <c r="K1858" s="45" t="b">
        <v>0</v>
      </c>
      <c r="L1858" s="45"/>
      <c r="M1858" s="45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  <c r="AD1858" s="26"/>
      <c r="AE1858" s="26"/>
      <c r="AF1858" s="26"/>
      <c r="AG1858" s="26"/>
      <c r="AH1858" s="26"/>
      <c r="AI1858" s="26"/>
      <c r="AJ1858" s="26"/>
      <c r="AK1858" s="2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</row>
    <row r="1859">
      <c r="A1859" s="16" t="str">
        <f t="shared" si="14"/>
        <v/>
      </c>
      <c r="B1859" s="16" t="str">
        <f t="shared" si="15"/>
        <v/>
      </c>
      <c r="C1859" s="35" t="str">
        <f t="shared" si="16"/>
        <v/>
      </c>
      <c r="D1859" s="35" t="str">
        <f t="shared" si="17"/>
        <v/>
      </c>
      <c r="E1859" s="35" t="str">
        <f t="shared" si="18"/>
        <v/>
      </c>
      <c r="F1859" s="35" t="str">
        <f t="shared" si="19"/>
        <v/>
      </c>
      <c r="G1859" s="35" t="str">
        <f t="shared" si="20"/>
        <v/>
      </c>
      <c r="H1859" s="49"/>
      <c r="I1859" s="47" t="str">
        <f t="shared" si="21"/>
        <v/>
      </c>
      <c r="J1859" s="50"/>
      <c r="K1859" s="45" t="b">
        <v>0</v>
      </c>
      <c r="L1859" s="45"/>
      <c r="M1859" s="45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</row>
    <row r="1860">
      <c r="A1860" s="16" t="str">
        <f t="shared" si="14"/>
        <v/>
      </c>
      <c r="B1860" s="16" t="str">
        <f t="shared" si="15"/>
        <v/>
      </c>
      <c r="C1860" s="35" t="str">
        <f t="shared" si="16"/>
        <v/>
      </c>
      <c r="D1860" s="35" t="str">
        <f t="shared" si="17"/>
        <v/>
      </c>
      <c r="E1860" s="35" t="str">
        <f t="shared" si="18"/>
        <v/>
      </c>
      <c r="F1860" s="35" t="str">
        <f t="shared" si="19"/>
        <v/>
      </c>
      <c r="G1860" s="35" t="str">
        <f t="shared" si="20"/>
        <v/>
      </c>
      <c r="H1860" s="49"/>
      <c r="I1860" s="47" t="str">
        <f t="shared" si="21"/>
        <v/>
      </c>
      <c r="J1860" s="50"/>
      <c r="K1860" s="45" t="b">
        <v>0</v>
      </c>
      <c r="L1860" s="45"/>
      <c r="M1860" s="45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</row>
    <row r="1861">
      <c r="A1861" s="16" t="str">
        <f t="shared" si="14"/>
        <v/>
      </c>
      <c r="B1861" s="16" t="str">
        <f t="shared" si="15"/>
        <v/>
      </c>
      <c r="C1861" s="35" t="str">
        <f t="shared" si="16"/>
        <v/>
      </c>
      <c r="D1861" s="35" t="str">
        <f t="shared" si="17"/>
        <v/>
      </c>
      <c r="E1861" s="35" t="str">
        <f t="shared" si="18"/>
        <v/>
      </c>
      <c r="F1861" s="35" t="str">
        <f t="shared" si="19"/>
        <v/>
      </c>
      <c r="G1861" s="35" t="str">
        <f t="shared" si="20"/>
        <v/>
      </c>
      <c r="H1861" s="49"/>
      <c r="I1861" s="47" t="str">
        <f t="shared" si="21"/>
        <v/>
      </c>
      <c r="J1861" s="50"/>
      <c r="K1861" s="45" t="b">
        <v>0</v>
      </c>
      <c r="L1861" s="45"/>
      <c r="M1861" s="45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</row>
    <row r="1862">
      <c r="A1862" s="16" t="str">
        <f t="shared" si="14"/>
        <v/>
      </c>
      <c r="B1862" s="16" t="str">
        <f t="shared" si="15"/>
        <v/>
      </c>
      <c r="C1862" s="35" t="str">
        <f t="shared" si="16"/>
        <v/>
      </c>
      <c r="D1862" s="35" t="str">
        <f t="shared" si="17"/>
        <v/>
      </c>
      <c r="E1862" s="35" t="str">
        <f t="shared" si="18"/>
        <v/>
      </c>
      <c r="F1862" s="35" t="str">
        <f t="shared" si="19"/>
        <v/>
      </c>
      <c r="G1862" s="35" t="str">
        <f t="shared" si="20"/>
        <v/>
      </c>
      <c r="H1862" s="49"/>
      <c r="I1862" s="47" t="str">
        <f t="shared" si="21"/>
        <v/>
      </c>
      <c r="J1862" s="50"/>
      <c r="K1862" s="45" t="b">
        <v>0</v>
      </c>
      <c r="L1862" s="45"/>
      <c r="M1862" s="45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</row>
    <row r="1863">
      <c r="A1863" s="16" t="str">
        <f t="shared" si="14"/>
        <v/>
      </c>
      <c r="B1863" s="16" t="str">
        <f t="shared" si="15"/>
        <v/>
      </c>
      <c r="C1863" s="35" t="str">
        <f t="shared" si="16"/>
        <v/>
      </c>
      <c r="D1863" s="35" t="str">
        <f t="shared" si="17"/>
        <v/>
      </c>
      <c r="E1863" s="35" t="str">
        <f t="shared" si="18"/>
        <v/>
      </c>
      <c r="F1863" s="35" t="str">
        <f t="shared" si="19"/>
        <v/>
      </c>
      <c r="G1863" s="35" t="str">
        <f t="shared" si="20"/>
        <v/>
      </c>
      <c r="H1863" s="49"/>
      <c r="I1863" s="47" t="str">
        <f t="shared" si="21"/>
        <v/>
      </c>
      <c r="J1863" s="50"/>
      <c r="K1863" s="45" t="b">
        <v>0</v>
      </c>
      <c r="L1863" s="45"/>
      <c r="M1863" s="45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</row>
    <row r="1864">
      <c r="A1864" s="16" t="str">
        <f t="shared" si="14"/>
        <v/>
      </c>
      <c r="B1864" s="16" t="str">
        <f t="shared" si="15"/>
        <v/>
      </c>
      <c r="C1864" s="35" t="str">
        <f t="shared" si="16"/>
        <v/>
      </c>
      <c r="D1864" s="35" t="str">
        <f t="shared" si="17"/>
        <v/>
      </c>
      <c r="E1864" s="35" t="str">
        <f t="shared" si="18"/>
        <v/>
      </c>
      <c r="F1864" s="35" t="str">
        <f t="shared" si="19"/>
        <v/>
      </c>
      <c r="G1864" s="35" t="str">
        <f t="shared" si="20"/>
        <v/>
      </c>
      <c r="H1864" s="49"/>
      <c r="I1864" s="47" t="str">
        <f t="shared" si="21"/>
        <v/>
      </c>
      <c r="J1864" s="50"/>
      <c r="K1864" s="45" t="b">
        <v>0</v>
      </c>
      <c r="L1864" s="45"/>
      <c r="M1864" s="45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</row>
    <row r="1865">
      <c r="A1865" s="16" t="str">
        <f t="shared" si="14"/>
        <v/>
      </c>
      <c r="B1865" s="16" t="str">
        <f t="shared" si="15"/>
        <v/>
      </c>
      <c r="C1865" s="35" t="str">
        <f t="shared" si="16"/>
        <v/>
      </c>
      <c r="D1865" s="35" t="str">
        <f t="shared" si="17"/>
        <v/>
      </c>
      <c r="E1865" s="35" t="str">
        <f t="shared" si="18"/>
        <v/>
      </c>
      <c r="F1865" s="35" t="str">
        <f t="shared" si="19"/>
        <v/>
      </c>
      <c r="G1865" s="35" t="str">
        <f t="shared" si="20"/>
        <v/>
      </c>
      <c r="H1865" s="49"/>
      <c r="I1865" s="47" t="str">
        <f t="shared" si="21"/>
        <v/>
      </c>
      <c r="J1865" s="50"/>
      <c r="K1865" s="45" t="b">
        <v>0</v>
      </c>
      <c r="L1865" s="45"/>
      <c r="M1865" s="45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  <c r="AD1865" s="26"/>
      <c r="AE1865" s="26"/>
      <c r="AF1865" s="26"/>
      <c r="AG1865" s="26"/>
      <c r="AH1865" s="26"/>
      <c r="AI1865" s="26"/>
      <c r="AJ1865" s="26"/>
      <c r="AK1865" s="2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</row>
    <row r="1866">
      <c r="A1866" s="16" t="str">
        <f t="shared" si="14"/>
        <v/>
      </c>
      <c r="B1866" s="16" t="str">
        <f t="shared" si="15"/>
        <v/>
      </c>
      <c r="C1866" s="35" t="str">
        <f t="shared" si="16"/>
        <v/>
      </c>
      <c r="D1866" s="35" t="str">
        <f t="shared" si="17"/>
        <v/>
      </c>
      <c r="E1866" s="35" t="str">
        <f t="shared" si="18"/>
        <v/>
      </c>
      <c r="F1866" s="35" t="str">
        <f t="shared" si="19"/>
        <v/>
      </c>
      <c r="G1866" s="35" t="str">
        <f t="shared" si="20"/>
        <v/>
      </c>
      <c r="H1866" s="49"/>
      <c r="I1866" s="47" t="str">
        <f t="shared" si="21"/>
        <v/>
      </c>
      <c r="J1866" s="50"/>
      <c r="K1866" s="45" t="b">
        <v>0</v>
      </c>
      <c r="L1866" s="45"/>
      <c r="M1866" s="45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  <c r="AK1866" s="2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</row>
    <row r="1867">
      <c r="A1867" s="16" t="str">
        <f t="shared" si="14"/>
        <v/>
      </c>
      <c r="B1867" s="16" t="str">
        <f t="shared" si="15"/>
        <v/>
      </c>
      <c r="C1867" s="35" t="str">
        <f t="shared" si="16"/>
        <v/>
      </c>
      <c r="D1867" s="35" t="str">
        <f t="shared" si="17"/>
        <v/>
      </c>
      <c r="E1867" s="35" t="str">
        <f t="shared" si="18"/>
        <v/>
      </c>
      <c r="F1867" s="35" t="str">
        <f t="shared" si="19"/>
        <v/>
      </c>
      <c r="G1867" s="35" t="str">
        <f t="shared" si="20"/>
        <v/>
      </c>
      <c r="H1867" s="49"/>
      <c r="I1867" s="47" t="str">
        <f t="shared" si="21"/>
        <v/>
      </c>
      <c r="J1867" s="50"/>
      <c r="K1867" s="45" t="b">
        <v>0</v>
      </c>
      <c r="L1867" s="45"/>
      <c r="M1867" s="45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  <c r="AC1867" s="26"/>
      <c r="AD1867" s="26"/>
      <c r="AE1867" s="26"/>
      <c r="AF1867" s="26"/>
      <c r="AG1867" s="26"/>
      <c r="AH1867" s="26"/>
      <c r="AI1867" s="26"/>
      <c r="AJ1867" s="26"/>
      <c r="AK1867" s="2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</row>
    <row r="1868">
      <c r="A1868" s="16" t="str">
        <f t="shared" si="14"/>
        <v/>
      </c>
      <c r="B1868" s="16" t="str">
        <f t="shared" si="15"/>
        <v/>
      </c>
      <c r="C1868" s="35" t="str">
        <f t="shared" si="16"/>
        <v/>
      </c>
      <c r="D1868" s="35" t="str">
        <f t="shared" si="17"/>
        <v/>
      </c>
      <c r="E1868" s="35" t="str">
        <f t="shared" si="18"/>
        <v/>
      </c>
      <c r="F1868" s="35" t="str">
        <f t="shared" si="19"/>
        <v/>
      </c>
      <c r="G1868" s="35" t="str">
        <f t="shared" si="20"/>
        <v/>
      </c>
      <c r="H1868" s="49"/>
      <c r="I1868" s="47" t="str">
        <f t="shared" si="21"/>
        <v/>
      </c>
      <c r="J1868" s="50"/>
      <c r="K1868" s="45" t="b">
        <v>0</v>
      </c>
      <c r="L1868" s="45"/>
      <c r="M1868" s="45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  <c r="AC1868" s="26"/>
      <c r="AD1868" s="26"/>
      <c r="AE1868" s="26"/>
      <c r="AF1868" s="26"/>
      <c r="AG1868" s="26"/>
      <c r="AH1868" s="26"/>
      <c r="AI1868" s="26"/>
      <c r="AJ1868" s="26"/>
      <c r="AK1868" s="2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</row>
    <row r="1869">
      <c r="A1869" s="16" t="str">
        <f t="shared" si="14"/>
        <v/>
      </c>
      <c r="B1869" s="16" t="str">
        <f t="shared" si="15"/>
        <v/>
      </c>
      <c r="C1869" s="35" t="str">
        <f t="shared" si="16"/>
        <v/>
      </c>
      <c r="D1869" s="35" t="str">
        <f t="shared" si="17"/>
        <v/>
      </c>
      <c r="E1869" s="35" t="str">
        <f t="shared" si="18"/>
        <v/>
      </c>
      <c r="F1869" s="35" t="str">
        <f t="shared" si="19"/>
        <v/>
      </c>
      <c r="G1869" s="35" t="str">
        <f t="shared" si="20"/>
        <v/>
      </c>
      <c r="H1869" s="49"/>
      <c r="I1869" s="47" t="str">
        <f t="shared" si="21"/>
        <v/>
      </c>
      <c r="J1869" s="50"/>
      <c r="K1869" s="45" t="b">
        <v>0</v>
      </c>
      <c r="L1869" s="45"/>
      <c r="M1869" s="45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  <c r="AD1869" s="26"/>
      <c r="AE1869" s="26"/>
      <c r="AF1869" s="26"/>
      <c r="AG1869" s="26"/>
      <c r="AH1869" s="26"/>
      <c r="AI1869" s="26"/>
      <c r="AJ1869" s="26"/>
      <c r="AK1869" s="2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46"/>
    </row>
    <row r="1870">
      <c r="A1870" s="16" t="str">
        <f t="shared" si="14"/>
        <v/>
      </c>
      <c r="B1870" s="16" t="str">
        <f t="shared" si="15"/>
        <v/>
      </c>
      <c r="C1870" s="35" t="str">
        <f t="shared" si="16"/>
        <v/>
      </c>
      <c r="D1870" s="35" t="str">
        <f t="shared" si="17"/>
        <v/>
      </c>
      <c r="E1870" s="35" t="str">
        <f t="shared" si="18"/>
        <v/>
      </c>
      <c r="F1870" s="35" t="str">
        <f t="shared" si="19"/>
        <v/>
      </c>
      <c r="G1870" s="35" t="str">
        <f t="shared" si="20"/>
        <v/>
      </c>
      <c r="H1870" s="49"/>
      <c r="I1870" s="47" t="str">
        <f t="shared" si="21"/>
        <v/>
      </c>
      <c r="J1870" s="50"/>
      <c r="K1870" s="45" t="b">
        <v>0</v>
      </c>
      <c r="L1870" s="45"/>
      <c r="M1870" s="45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  <c r="AC1870" s="26"/>
      <c r="AD1870" s="26"/>
      <c r="AE1870" s="26"/>
      <c r="AF1870" s="26"/>
      <c r="AG1870" s="26"/>
      <c r="AH1870" s="26"/>
      <c r="AI1870" s="26"/>
      <c r="AJ1870" s="26"/>
      <c r="AK1870" s="2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46"/>
    </row>
    <row r="1871">
      <c r="A1871" s="16" t="str">
        <f t="shared" si="14"/>
        <v/>
      </c>
      <c r="B1871" s="16" t="str">
        <f t="shared" si="15"/>
        <v/>
      </c>
      <c r="C1871" s="35" t="str">
        <f t="shared" si="16"/>
        <v/>
      </c>
      <c r="D1871" s="35" t="str">
        <f t="shared" si="17"/>
        <v/>
      </c>
      <c r="E1871" s="35" t="str">
        <f t="shared" si="18"/>
        <v/>
      </c>
      <c r="F1871" s="35" t="str">
        <f t="shared" si="19"/>
        <v/>
      </c>
      <c r="G1871" s="35" t="str">
        <f t="shared" si="20"/>
        <v/>
      </c>
      <c r="H1871" s="49"/>
      <c r="I1871" s="47" t="str">
        <f t="shared" si="21"/>
        <v/>
      </c>
      <c r="J1871" s="50"/>
      <c r="K1871" s="45" t="b">
        <v>0</v>
      </c>
      <c r="L1871" s="45"/>
      <c r="M1871" s="45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  <c r="AD1871" s="26"/>
      <c r="AE1871" s="26"/>
      <c r="AF1871" s="26"/>
      <c r="AG1871" s="26"/>
      <c r="AH1871" s="26"/>
      <c r="AI1871" s="26"/>
      <c r="AJ1871" s="26"/>
      <c r="AK1871" s="2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46"/>
    </row>
    <row r="1872">
      <c r="A1872" s="16" t="str">
        <f t="shared" si="14"/>
        <v/>
      </c>
      <c r="B1872" s="16" t="str">
        <f t="shared" si="15"/>
        <v/>
      </c>
      <c r="C1872" s="35" t="str">
        <f t="shared" si="16"/>
        <v/>
      </c>
      <c r="D1872" s="35" t="str">
        <f t="shared" si="17"/>
        <v/>
      </c>
      <c r="E1872" s="35" t="str">
        <f t="shared" si="18"/>
        <v/>
      </c>
      <c r="F1872" s="35" t="str">
        <f t="shared" si="19"/>
        <v/>
      </c>
      <c r="G1872" s="35" t="str">
        <f t="shared" si="20"/>
        <v/>
      </c>
      <c r="H1872" s="49"/>
      <c r="I1872" s="47" t="str">
        <f t="shared" si="21"/>
        <v/>
      </c>
      <c r="J1872" s="50"/>
      <c r="K1872" s="45" t="b">
        <v>0</v>
      </c>
      <c r="L1872" s="45"/>
      <c r="M1872" s="45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6"/>
      <c r="AI1872" s="26"/>
      <c r="AJ1872" s="26"/>
      <c r="AK1872" s="2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46"/>
    </row>
    <row r="1873">
      <c r="A1873" s="16" t="str">
        <f t="shared" si="14"/>
        <v/>
      </c>
      <c r="B1873" s="16" t="str">
        <f t="shared" si="15"/>
        <v/>
      </c>
      <c r="C1873" s="35" t="str">
        <f t="shared" si="16"/>
        <v/>
      </c>
      <c r="D1873" s="35" t="str">
        <f t="shared" si="17"/>
        <v/>
      </c>
      <c r="E1873" s="35" t="str">
        <f t="shared" si="18"/>
        <v/>
      </c>
      <c r="F1873" s="35" t="str">
        <f t="shared" si="19"/>
        <v/>
      </c>
      <c r="G1873" s="35" t="str">
        <f t="shared" si="20"/>
        <v/>
      </c>
      <c r="H1873" s="49"/>
      <c r="I1873" s="47" t="str">
        <f t="shared" si="21"/>
        <v/>
      </c>
      <c r="J1873" s="50"/>
      <c r="K1873" s="45" t="b">
        <v>0</v>
      </c>
      <c r="L1873" s="45"/>
      <c r="M1873" s="45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  <c r="AC1873" s="26"/>
      <c r="AD1873" s="26"/>
      <c r="AE1873" s="26"/>
      <c r="AF1873" s="26"/>
      <c r="AG1873" s="26"/>
      <c r="AH1873" s="26"/>
      <c r="AI1873" s="26"/>
      <c r="AJ1873" s="26"/>
      <c r="AK1873" s="2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46"/>
    </row>
    <row r="1874">
      <c r="A1874" s="16" t="str">
        <f t="shared" si="14"/>
        <v/>
      </c>
      <c r="B1874" s="16" t="str">
        <f t="shared" si="15"/>
        <v/>
      </c>
      <c r="C1874" s="35" t="str">
        <f t="shared" si="16"/>
        <v/>
      </c>
      <c r="D1874" s="35" t="str">
        <f t="shared" si="17"/>
        <v/>
      </c>
      <c r="E1874" s="35" t="str">
        <f t="shared" si="18"/>
        <v/>
      </c>
      <c r="F1874" s="35" t="str">
        <f t="shared" si="19"/>
        <v/>
      </c>
      <c r="G1874" s="35" t="str">
        <f t="shared" si="20"/>
        <v/>
      </c>
      <c r="H1874" s="49"/>
      <c r="I1874" s="47" t="str">
        <f t="shared" si="21"/>
        <v/>
      </c>
      <c r="J1874" s="50"/>
      <c r="K1874" s="45" t="b">
        <v>0</v>
      </c>
      <c r="L1874" s="45"/>
      <c r="M1874" s="45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  <c r="AC1874" s="26"/>
      <c r="AD1874" s="26"/>
      <c r="AE1874" s="26"/>
      <c r="AF1874" s="26"/>
      <c r="AG1874" s="26"/>
      <c r="AH1874" s="26"/>
      <c r="AI1874" s="26"/>
      <c r="AJ1874" s="26"/>
      <c r="AK1874" s="2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46"/>
    </row>
    <row r="1875">
      <c r="A1875" s="16" t="str">
        <f t="shared" si="14"/>
        <v/>
      </c>
      <c r="B1875" s="16" t="str">
        <f t="shared" si="15"/>
        <v/>
      </c>
      <c r="C1875" s="35" t="str">
        <f t="shared" si="16"/>
        <v/>
      </c>
      <c r="D1875" s="35" t="str">
        <f t="shared" si="17"/>
        <v/>
      </c>
      <c r="E1875" s="35" t="str">
        <f t="shared" si="18"/>
        <v/>
      </c>
      <c r="F1875" s="35" t="str">
        <f t="shared" si="19"/>
        <v/>
      </c>
      <c r="G1875" s="35" t="str">
        <f t="shared" si="20"/>
        <v/>
      </c>
      <c r="H1875" s="49"/>
      <c r="I1875" s="47" t="str">
        <f t="shared" si="21"/>
        <v/>
      </c>
      <c r="J1875" s="50"/>
      <c r="K1875" s="45" t="b">
        <v>0</v>
      </c>
      <c r="L1875" s="45"/>
      <c r="M1875" s="45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  <c r="AD1875" s="26"/>
      <c r="AE1875" s="26"/>
      <c r="AF1875" s="26"/>
      <c r="AG1875" s="26"/>
      <c r="AH1875" s="26"/>
      <c r="AI1875" s="26"/>
      <c r="AJ1875" s="26"/>
      <c r="AK1875" s="2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46"/>
    </row>
    <row r="1876">
      <c r="A1876" s="16" t="str">
        <f t="shared" si="14"/>
        <v/>
      </c>
      <c r="B1876" s="16" t="str">
        <f t="shared" si="15"/>
        <v/>
      </c>
      <c r="C1876" s="35" t="str">
        <f t="shared" si="16"/>
        <v/>
      </c>
      <c r="D1876" s="35" t="str">
        <f t="shared" si="17"/>
        <v/>
      </c>
      <c r="E1876" s="35" t="str">
        <f t="shared" si="18"/>
        <v/>
      </c>
      <c r="F1876" s="35" t="str">
        <f t="shared" si="19"/>
        <v/>
      </c>
      <c r="G1876" s="35" t="str">
        <f t="shared" si="20"/>
        <v/>
      </c>
      <c r="H1876" s="49"/>
      <c r="I1876" s="47" t="str">
        <f t="shared" si="21"/>
        <v/>
      </c>
      <c r="J1876" s="50"/>
      <c r="K1876" s="45" t="b">
        <v>0</v>
      </c>
      <c r="L1876" s="45"/>
      <c r="M1876" s="45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46"/>
    </row>
    <row r="1877">
      <c r="A1877" s="16" t="str">
        <f t="shared" si="14"/>
        <v/>
      </c>
      <c r="B1877" s="16" t="str">
        <f t="shared" si="15"/>
        <v/>
      </c>
      <c r="C1877" s="35" t="str">
        <f t="shared" si="16"/>
        <v/>
      </c>
      <c r="D1877" s="35" t="str">
        <f t="shared" si="17"/>
        <v/>
      </c>
      <c r="E1877" s="35" t="str">
        <f t="shared" si="18"/>
        <v/>
      </c>
      <c r="F1877" s="35" t="str">
        <f t="shared" si="19"/>
        <v/>
      </c>
      <c r="G1877" s="35" t="str">
        <f t="shared" si="20"/>
        <v/>
      </c>
      <c r="H1877" s="49"/>
      <c r="I1877" s="47" t="str">
        <f t="shared" si="21"/>
        <v/>
      </c>
      <c r="J1877" s="50"/>
      <c r="K1877" s="45" t="b">
        <v>0</v>
      </c>
      <c r="L1877" s="45"/>
      <c r="M1877" s="45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46"/>
    </row>
    <row r="1878">
      <c r="A1878" s="16" t="str">
        <f t="shared" si="14"/>
        <v/>
      </c>
      <c r="B1878" s="16" t="str">
        <f t="shared" si="15"/>
        <v/>
      </c>
      <c r="C1878" s="35" t="str">
        <f t="shared" si="16"/>
        <v/>
      </c>
      <c r="D1878" s="35" t="str">
        <f t="shared" si="17"/>
        <v/>
      </c>
      <c r="E1878" s="35" t="str">
        <f t="shared" si="18"/>
        <v/>
      </c>
      <c r="F1878" s="35" t="str">
        <f t="shared" si="19"/>
        <v/>
      </c>
      <c r="G1878" s="35" t="str">
        <f t="shared" si="20"/>
        <v/>
      </c>
      <c r="H1878" s="49"/>
      <c r="I1878" s="47" t="str">
        <f t="shared" si="21"/>
        <v/>
      </c>
      <c r="J1878" s="50"/>
      <c r="K1878" s="45" t="b">
        <v>0</v>
      </c>
      <c r="L1878" s="45"/>
      <c r="M1878" s="45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46"/>
    </row>
    <row r="1879">
      <c r="A1879" s="16" t="str">
        <f t="shared" si="14"/>
        <v/>
      </c>
      <c r="B1879" s="16" t="str">
        <f t="shared" si="15"/>
        <v/>
      </c>
      <c r="C1879" s="35" t="str">
        <f t="shared" si="16"/>
        <v/>
      </c>
      <c r="D1879" s="35" t="str">
        <f t="shared" si="17"/>
        <v/>
      </c>
      <c r="E1879" s="35" t="str">
        <f t="shared" si="18"/>
        <v/>
      </c>
      <c r="F1879" s="35" t="str">
        <f t="shared" si="19"/>
        <v/>
      </c>
      <c r="G1879" s="35" t="str">
        <f t="shared" si="20"/>
        <v/>
      </c>
      <c r="H1879" s="49"/>
      <c r="I1879" s="47" t="str">
        <f t="shared" si="21"/>
        <v/>
      </c>
      <c r="J1879" s="50"/>
      <c r="K1879" s="45" t="b">
        <v>0</v>
      </c>
      <c r="L1879" s="45"/>
      <c r="M1879" s="45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46"/>
    </row>
    <row r="1880">
      <c r="A1880" s="16" t="str">
        <f t="shared" si="14"/>
        <v/>
      </c>
      <c r="B1880" s="16" t="str">
        <f t="shared" si="15"/>
        <v/>
      </c>
      <c r="C1880" s="35" t="str">
        <f t="shared" si="16"/>
        <v/>
      </c>
      <c r="D1880" s="35" t="str">
        <f t="shared" si="17"/>
        <v/>
      </c>
      <c r="E1880" s="35" t="str">
        <f t="shared" si="18"/>
        <v/>
      </c>
      <c r="F1880" s="35" t="str">
        <f t="shared" si="19"/>
        <v/>
      </c>
      <c r="G1880" s="35" t="str">
        <f t="shared" si="20"/>
        <v/>
      </c>
      <c r="H1880" s="49"/>
      <c r="I1880" s="47" t="str">
        <f t="shared" si="21"/>
        <v/>
      </c>
      <c r="J1880" s="50"/>
      <c r="K1880" s="45" t="b">
        <v>0</v>
      </c>
      <c r="L1880" s="45"/>
      <c r="M1880" s="45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46"/>
    </row>
    <row r="1881">
      <c r="A1881" s="16" t="str">
        <f t="shared" si="14"/>
        <v/>
      </c>
      <c r="B1881" s="16" t="str">
        <f t="shared" si="15"/>
        <v/>
      </c>
      <c r="C1881" s="35" t="str">
        <f t="shared" si="16"/>
        <v/>
      </c>
      <c r="D1881" s="35" t="str">
        <f t="shared" si="17"/>
        <v/>
      </c>
      <c r="E1881" s="35" t="str">
        <f t="shared" si="18"/>
        <v/>
      </c>
      <c r="F1881" s="35" t="str">
        <f t="shared" si="19"/>
        <v/>
      </c>
      <c r="G1881" s="35" t="str">
        <f t="shared" si="20"/>
        <v/>
      </c>
      <c r="H1881" s="49"/>
      <c r="I1881" s="47" t="str">
        <f t="shared" si="21"/>
        <v/>
      </c>
      <c r="J1881" s="50"/>
      <c r="K1881" s="45" t="b">
        <v>0</v>
      </c>
      <c r="L1881" s="45"/>
      <c r="M1881" s="45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  <c r="AD1881" s="26"/>
      <c r="AE1881" s="26"/>
      <c r="AF1881" s="26"/>
      <c r="AG1881" s="26"/>
      <c r="AH1881" s="26"/>
      <c r="AI1881" s="26"/>
      <c r="AJ1881" s="26"/>
      <c r="AK1881" s="2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46"/>
    </row>
    <row r="1882">
      <c r="A1882" s="16" t="str">
        <f t="shared" si="14"/>
        <v/>
      </c>
      <c r="B1882" s="16" t="str">
        <f t="shared" si="15"/>
        <v/>
      </c>
      <c r="C1882" s="35" t="str">
        <f t="shared" si="16"/>
        <v/>
      </c>
      <c r="D1882" s="35" t="str">
        <f t="shared" si="17"/>
        <v/>
      </c>
      <c r="E1882" s="35" t="str">
        <f t="shared" si="18"/>
        <v/>
      </c>
      <c r="F1882" s="35" t="str">
        <f t="shared" si="19"/>
        <v/>
      </c>
      <c r="G1882" s="35" t="str">
        <f t="shared" si="20"/>
        <v/>
      </c>
      <c r="H1882" s="49"/>
      <c r="I1882" s="47" t="str">
        <f t="shared" si="21"/>
        <v/>
      </c>
      <c r="J1882" s="50"/>
      <c r="K1882" s="45" t="b">
        <v>0</v>
      </c>
      <c r="L1882" s="45"/>
      <c r="M1882" s="45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  <c r="AD1882" s="26"/>
      <c r="AE1882" s="26"/>
      <c r="AF1882" s="26"/>
      <c r="AG1882" s="26"/>
      <c r="AH1882" s="26"/>
      <c r="AI1882" s="26"/>
      <c r="AJ1882" s="26"/>
      <c r="AK1882" s="2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46"/>
    </row>
    <row r="1883">
      <c r="A1883" s="16" t="str">
        <f t="shared" si="14"/>
        <v/>
      </c>
      <c r="B1883" s="16" t="str">
        <f t="shared" si="15"/>
        <v/>
      </c>
      <c r="C1883" s="35" t="str">
        <f t="shared" si="16"/>
        <v/>
      </c>
      <c r="D1883" s="35" t="str">
        <f t="shared" si="17"/>
        <v/>
      </c>
      <c r="E1883" s="35" t="str">
        <f t="shared" si="18"/>
        <v/>
      </c>
      <c r="F1883" s="35" t="str">
        <f t="shared" si="19"/>
        <v/>
      </c>
      <c r="G1883" s="35" t="str">
        <f t="shared" si="20"/>
        <v/>
      </c>
      <c r="H1883" s="49"/>
      <c r="I1883" s="47" t="str">
        <f t="shared" si="21"/>
        <v/>
      </c>
      <c r="J1883" s="50"/>
      <c r="K1883" s="45" t="b">
        <v>0</v>
      </c>
      <c r="L1883" s="45"/>
      <c r="M1883" s="45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46"/>
    </row>
    <row r="1884">
      <c r="A1884" s="16" t="str">
        <f t="shared" si="14"/>
        <v/>
      </c>
      <c r="B1884" s="16" t="str">
        <f t="shared" si="15"/>
        <v/>
      </c>
      <c r="C1884" s="35" t="str">
        <f t="shared" si="16"/>
        <v/>
      </c>
      <c r="D1884" s="35" t="str">
        <f t="shared" si="17"/>
        <v/>
      </c>
      <c r="E1884" s="35" t="str">
        <f t="shared" si="18"/>
        <v/>
      </c>
      <c r="F1884" s="35" t="str">
        <f t="shared" si="19"/>
        <v/>
      </c>
      <c r="G1884" s="35" t="str">
        <f t="shared" si="20"/>
        <v/>
      </c>
      <c r="H1884" s="49"/>
      <c r="I1884" s="47" t="str">
        <f t="shared" si="21"/>
        <v/>
      </c>
      <c r="J1884" s="50"/>
      <c r="K1884" s="45" t="b">
        <v>0</v>
      </c>
      <c r="L1884" s="45"/>
      <c r="M1884" s="45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  <c r="AD1884" s="26"/>
      <c r="AE1884" s="26"/>
      <c r="AF1884" s="26"/>
      <c r="AG1884" s="26"/>
      <c r="AH1884" s="26"/>
      <c r="AI1884" s="26"/>
      <c r="AJ1884" s="26"/>
      <c r="AK1884" s="2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46"/>
    </row>
    <row r="1885">
      <c r="A1885" s="16" t="str">
        <f t="shared" si="14"/>
        <v/>
      </c>
      <c r="B1885" s="16" t="str">
        <f t="shared" si="15"/>
        <v/>
      </c>
      <c r="C1885" s="35" t="str">
        <f t="shared" si="16"/>
        <v/>
      </c>
      <c r="D1885" s="35" t="str">
        <f t="shared" si="17"/>
        <v/>
      </c>
      <c r="E1885" s="35" t="str">
        <f t="shared" si="18"/>
        <v/>
      </c>
      <c r="F1885" s="35" t="str">
        <f t="shared" si="19"/>
        <v/>
      </c>
      <c r="G1885" s="35" t="str">
        <f t="shared" si="20"/>
        <v/>
      </c>
      <c r="H1885" s="49"/>
      <c r="I1885" s="47" t="str">
        <f t="shared" si="21"/>
        <v/>
      </c>
      <c r="J1885" s="50"/>
      <c r="K1885" s="45" t="b">
        <v>0</v>
      </c>
      <c r="L1885" s="45"/>
      <c r="M1885" s="45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  <c r="AC1885" s="26"/>
      <c r="AD1885" s="26"/>
      <c r="AE1885" s="26"/>
      <c r="AF1885" s="26"/>
      <c r="AG1885" s="26"/>
      <c r="AH1885" s="26"/>
      <c r="AI1885" s="26"/>
      <c r="AJ1885" s="26"/>
      <c r="AK1885" s="2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46"/>
    </row>
    <row r="1886">
      <c r="A1886" s="16" t="str">
        <f t="shared" si="14"/>
        <v/>
      </c>
      <c r="B1886" s="16" t="str">
        <f t="shared" si="15"/>
        <v/>
      </c>
      <c r="C1886" s="35" t="str">
        <f t="shared" si="16"/>
        <v/>
      </c>
      <c r="D1886" s="35" t="str">
        <f t="shared" si="17"/>
        <v/>
      </c>
      <c r="E1886" s="35" t="str">
        <f t="shared" si="18"/>
        <v/>
      </c>
      <c r="F1886" s="35" t="str">
        <f t="shared" si="19"/>
        <v/>
      </c>
      <c r="G1886" s="35" t="str">
        <f t="shared" si="20"/>
        <v/>
      </c>
      <c r="H1886" s="49"/>
      <c r="I1886" s="47" t="str">
        <f t="shared" si="21"/>
        <v/>
      </c>
      <c r="J1886" s="50"/>
      <c r="K1886" s="45" t="b">
        <v>0</v>
      </c>
      <c r="L1886" s="45"/>
      <c r="M1886" s="45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  <c r="AC1886" s="26"/>
      <c r="AD1886" s="26"/>
      <c r="AE1886" s="26"/>
      <c r="AF1886" s="26"/>
      <c r="AG1886" s="26"/>
      <c r="AH1886" s="26"/>
      <c r="AI1886" s="26"/>
      <c r="AJ1886" s="26"/>
      <c r="AK1886" s="2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46"/>
    </row>
    <row r="1887">
      <c r="A1887" s="16" t="str">
        <f t="shared" si="14"/>
        <v/>
      </c>
      <c r="B1887" s="16" t="str">
        <f t="shared" si="15"/>
        <v/>
      </c>
      <c r="C1887" s="35" t="str">
        <f t="shared" si="16"/>
        <v/>
      </c>
      <c r="D1887" s="35" t="str">
        <f t="shared" si="17"/>
        <v/>
      </c>
      <c r="E1887" s="35" t="str">
        <f t="shared" si="18"/>
        <v/>
      </c>
      <c r="F1887" s="35" t="str">
        <f t="shared" si="19"/>
        <v/>
      </c>
      <c r="G1887" s="35" t="str">
        <f t="shared" si="20"/>
        <v/>
      </c>
      <c r="H1887" s="49"/>
      <c r="I1887" s="47" t="str">
        <f t="shared" si="21"/>
        <v/>
      </c>
      <c r="J1887" s="50"/>
      <c r="K1887" s="45" t="b">
        <v>0</v>
      </c>
      <c r="L1887" s="45"/>
      <c r="M1887" s="45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  <c r="AC1887" s="26"/>
      <c r="AD1887" s="26"/>
      <c r="AE1887" s="26"/>
      <c r="AF1887" s="26"/>
      <c r="AG1887" s="26"/>
      <c r="AH1887" s="26"/>
      <c r="AI1887" s="26"/>
      <c r="AJ1887" s="26"/>
      <c r="AK1887" s="2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46"/>
    </row>
    <row r="1888">
      <c r="A1888" s="16" t="str">
        <f t="shared" si="14"/>
        <v/>
      </c>
      <c r="B1888" s="16" t="str">
        <f t="shared" si="15"/>
        <v/>
      </c>
      <c r="C1888" s="35" t="str">
        <f t="shared" si="16"/>
        <v/>
      </c>
      <c r="D1888" s="35" t="str">
        <f t="shared" si="17"/>
        <v/>
      </c>
      <c r="E1888" s="35" t="str">
        <f t="shared" si="18"/>
        <v/>
      </c>
      <c r="F1888" s="35" t="str">
        <f t="shared" si="19"/>
        <v/>
      </c>
      <c r="G1888" s="35" t="str">
        <f t="shared" si="20"/>
        <v/>
      </c>
      <c r="H1888" s="49"/>
      <c r="I1888" s="47" t="str">
        <f t="shared" si="21"/>
        <v/>
      </c>
      <c r="J1888" s="50"/>
      <c r="K1888" s="45" t="b">
        <v>0</v>
      </c>
      <c r="L1888" s="45"/>
      <c r="M1888" s="45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  <c r="AK1888" s="2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46"/>
    </row>
    <row r="1889">
      <c r="A1889" s="16" t="str">
        <f t="shared" si="14"/>
        <v/>
      </c>
      <c r="B1889" s="16" t="str">
        <f t="shared" si="15"/>
        <v/>
      </c>
      <c r="C1889" s="35" t="str">
        <f t="shared" si="16"/>
        <v/>
      </c>
      <c r="D1889" s="35" t="str">
        <f t="shared" si="17"/>
        <v/>
      </c>
      <c r="E1889" s="35" t="str">
        <f t="shared" si="18"/>
        <v/>
      </c>
      <c r="F1889" s="35" t="str">
        <f t="shared" si="19"/>
        <v/>
      </c>
      <c r="G1889" s="35" t="str">
        <f t="shared" si="20"/>
        <v/>
      </c>
      <c r="H1889" s="49"/>
      <c r="I1889" s="47" t="str">
        <f t="shared" si="21"/>
        <v/>
      </c>
      <c r="J1889" s="50"/>
      <c r="K1889" s="45" t="b">
        <v>0</v>
      </c>
      <c r="L1889" s="45"/>
      <c r="M1889" s="45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46"/>
    </row>
    <row r="1890">
      <c r="A1890" s="16" t="str">
        <f t="shared" si="14"/>
        <v/>
      </c>
      <c r="B1890" s="16" t="str">
        <f t="shared" si="15"/>
        <v/>
      </c>
      <c r="C1890" s="35" t="str">
        <f t="shared" si="16"/>
        <v/>
      </c>
      <c r="D1890" s="35" t="str">
        <f t="shared" si="17"/>
        <v/>
      </c>
      <c r="E1890" s="35" t="str">
        <f t="shared" si="18"/>
        <v/>
      </c>
      <c r="F1890" s="35" t="str">
        <f t="shared" si="19"/>
        <v/>
      </c>
      <c r="G1890" s="35" t="str">
        <f t="shared" si="20"/>
        <v/>
      </c>
      <c r="H1890" s="49"/>
      <c r="I1890" s="47" t="str">
        <f t="shared" si="21"/>
        <v/>
      </c>
      <c r="J1890" s="50"/>
      <c r="K1890" s="45" t="b">
        <v>0</v>
      </c>
      <c r="L1890" s="45"/>
      <c r="M1890" s="45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  <c r="AC1890" s="26"/>
      <c r="AD1890" s="26"/>
      <c r="AE1890" s="26"/>
      <c r="AF1890" s="26"/>
      <c r="AG1890" s="26"/>
      <c r="AH1890" s="26"/>
      <c r="AI1890" s="26"/>
      <c r="AJ1890" s="26"/>
      <c r="AK1890" s="2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46"/>
    </row>
    <row r="1891">
      <c r="A1891" s="16" t="str">
        <f t="shared" si="14"/>
        <v/>
      </c>
      <c r="B1891" s="16" t="str">
        <f t="shared" si="15"/>
        <v/>
      </c>
      <c r="C1891" s="35" t="str">
        <f t="shared" si="16"/>
        <v/>
      </c>
      <c r="D1891" s="35" t="str">
        <f t="shared" si="17"/>
        <v/>
      </c>
      <c r="E1891" s="35" t="str">
        <f t="shared" si="18"/>
        <v/>
      </c>
      <c r="F1891" s="35" t="str">
        <f t="shared" si="19"/>
        <v/>
      </c>
      <c r="G1891" s="35" t="str">
        <f t="shared" si="20"/>
        <v/>
      </c>
      <c r="H1891" s="49"/>
      <c r="I1891" s="47" t="str">
        <f t="shared" si="21"/>
        <v/>
      </c>
      <c r="J1891" s="50"/>
      <c r="K1891" s="45" t="b">
        <v>0</v>
      </c>
      <c r="L1891" s="45"/>
      <c r="M1891" s="45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  <c r="AK1891" s="2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46"/>
    </row>
    <row r="1892">
      <c r="A1892" s="16" t="str">
        <f t="shared" si="14"/>
        <v/>
      </c>
      <c r="B1892" s="16" t="str">
        <f t="shared" si="15"/>
        <v/>
      </c>
      <c r="C1892" s="35" t="str">
        <f t="shared" si="16"/>
        <v/>
      </c>
      <c r="D1892" s="35" t="str">
        <f t="shared" si="17"/>
        <v/>
      </c>
      <c r="E1892" s="35" t="str">
        <f t="shared" si="18"/>
        <v/>
      </c>
      <c r="F1892" s="35" t="str">
        <f t="shared" si="19"/>
        <v/>
      </c>
      <c r="G1892" s="35" t="str">
        <f t="shared" si="20"/>
        <v/>
      </c>
      <c r="H1892" s="49"/>
      <c r="I1892" s="47" t="str">
        <f t="shared" si="21"/>
        <v/>
      </c>
      <c r="J1892" s="50"/>
      <c r="K1892" s="45" t="b">
        <v>0</v>
      </c>
      <c r="L1892" s="45"/>
      <c r="M1892" s="45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  <c r="AC1892" s="26"/>
      <c r="AD1892" s="26"/>
      <c r="AE1892" s="26"/>
      <c r="AF1892" s="26"/>
      <c r="AG1892" s="26"/>
      <c r="AH1892" s="26"/>
      <c r="AI1892" s="26"/>
      <c r="AJ1892" s="26"/>
      <c r="AK1892" s="2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46"/>
    </row>
    <row r="1893">
      <c r="A1893" s="16" t="str">
        <f t="shared" si="14"/>
        <v/>
      </c>
      <c r="B1893" s="16" t="str">
        <f t="shared" si="15"/>
        <v/>
      </c>
      <c r="C1893" s="35" t="str">
        <f t="shared" si="16"/>
        <v/>
      </c>
      <c r="D1893" s="35" t="str">
        <f t="shared" si="17"/>
        <v/>
      </c>
      <c r="E1893" s="35" t="str">
        <f t="shared" si="18"/>
        <v/>
      </c>
      <c r="F1893" s="35" t="str">
        <f t="shared" si="19"/>
        <v/>
      </c>
      <c r="G1893" s="35" t="str">
        <f t="shared" si="20"/>
        <v/>
      </c>
      <c r="H1893" s="49"/>
      <c r="I1893" s="47" t="str">
        <f t="shared" si="21"/>
        <v/>
      </c>
      <c r="J1893" s="50"/>
      <c r="K1893" s="45" t="b">
        <v>0</v>
      </c>
      <c r="L1893" s="45"/>
      <c r="M1893" s="45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  <c r="AC1893" s="26"/>
      <c r="AD1893" s="26"/>
      <c r="AE1893" s="26"/>
      <c r="AF1893" s="26"/>
      <c r="AG1893" s="26"/>
      <c r="AH1893" s="26"/>
      <c r="AI1893" s="26"/>
      <c r="AJ1893" s="26"/>
      <c r="AK1893" s="2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46"/>
    </row>
    <row r="1894">
      <c r="A1894" s="16" t="str">
        <f t="shared" si="14"/>
        <v/>
      </c>
      <c r="B1894" s="16" t="str">
        <f t="shared" si="15"/>
        <v/>
      </c>
      <c r="C1894" s="35" t="str">
        <f t="shared" si="16"/>
        <v/>
      </c>
      <c r="D1894" s="35" t="str">
        <f t="shared" si="17"/>
        <v/>
      </c>
      <c r="E1894" s="35" t="str">
        <f t="shared" si="18"/>
        <v/>
      </c>
      <c r="F1894" s="35" t="str">
        <f t="shared" si="19"/>
        <v/>
      </c>
      <c r="G1894" s="35" t="str">
        <f t="shared" si="20"/>
        <v/>
      </c>
      <c r="H1894" s="49"/>
      <c r="I1894" s="47" t="str">
        <f t="shared" si="21"/>
        <v/>
      </c>
      <c r="J1894" s="50"/>
      <c r="K1894" s="45" t="b">
        <v>0</v>
      </c>
      <c r="L1894" s="45"/>
      <c r="M1894" s="45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46"/>
    </row>
    <row r="1895">
      <c r="A1895" s="16" t="str">
        <f t="shared" si="14"/>
        <v/>
      </c>
      <c r="B1895" s="16" t="str">
        <f t="shared" si="15"/>
        <v/>
      </c>
      <c r="C1895" s="35" t="str">
        <f t="shared" si="16"/>
        <v/>
      </c>
      <c r="D1895" s="35" t="str">
        <f t="shared" si="17"/>
        <v/>
      </c>
      <c r="E1895" s="35" t="str">
        <f t="shared" si="18"/>
        <v/>
      </c>
      <c r="F1895" s="35" t="str">
        <f t="shared" si="19"/>
        <v/>
      </c>
      <c r="G1895" s="35" t="str">
        <f t="shared" si="20"/>
        <v/>
      </c>
      <c r="H1895" s="49"/>
      <c r="I1895" s="47" t="str">
        <f t="shared" si="21"/>
        <v/>
      </c>
      <c r="J1895" s="50"/>
      <c r="K1895" s="45" t="b">
        <v>0</v>
      </c>
      <c r="L1895" s="45"/>
      <c r="M1895" s="45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46"/>
    </row>
    <row r="1896">
      <c r="A1896" s="16" t="str">
        <f t="shared" si="14"/>
        <v/>
      </c>
      <c r="B1896" s="16" t="str">
        <f t="shared" si="15"/>
        <v/>
      </c>
      <c r="C1896" s="35" t="str">
        <f t="shared" si="16"/>
        <v/>
      </c>
      <c r="D1896" s="35" t="str">
        <f t="shared" si="17"/>
        <v/>
      </c>
      <c r="E1896" s="35" t="str">
        <f t="shared" si="18"/>
        <v/>
      </c>
      <c r="F1896" s="35" t="str">
        <f t="shared" si="19"/>
        <v/>
      </c>
      <c r="G1896" s="35" t="str">
        <f t="shared" si="20"/>
        <v/>
      </c>
      <c r="H1896" s="49"/>
      <c r="I1896" s="47" t="str">
        <f t="shared" si="21"/>
        <v/>
      </c>
      <c r="J1896" s="50"/>
      <c r="K1896" s="45" t="b">
        <v>0</v>
      </c>
      <c r="L1896" s="45"/>
      <c r="M1896" s="45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46"/>
    </row>
    <row r="1897">
      <c r="A1897" s="16" t="str">
        <f t="shared" si="14"/>
        <v/>
      </c>
      <c r="B1897" s="16" t="str">
        <f t="shared" si="15"/>
        <v/>
      </c>
      <c r="C1897" s="35" t="str">
        <f t="shared" si="16"/>
        <v/>
      </c>
      <c r="D1897" s="35" t="str">
        <f t="shared" si="17"/>
        <v/>
      </c>
      <c r="E1897" s="35" t="str">
        <f t="shared" si="18"/>
        <v/>
      </c>
      <c r="F1897" s="35" t="str">
        <f t="shared" si="19"/>
        <v/>
      </c>
      <c r="G1897" s="35" t="str">
        <f t="shared" si="20"/>
        <v/>
      </c>
      <c r="H1897" s="49"/>
      <c r="I1897" s="47" t="str">
        <f t="shared" si="21"/>
        <v/>
      </c>
      <c r="J1897" s="50"/>
      <c r="K1897" s="45" t="b">
        <v>0</v>
      </c>
      <c r="L1897" s="45"/>
      <c r="M1897" s="45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46"/>
    </row>
    <row r="1898">
      <c r="A1898" s="16" t="str">
        <f t="shared" si="14"/>
        <v/>
      </c>
      <c r="B1898" s="16" t="str">
        <f t="shared" si="15"/>
        <v/>
      </c>
      <c r="C1898" s="35" t="str">
        <f t="shared" si="16"/>
        <v/>
      </c>
      <c r="D1898" s="35" t="str">
        <f t="shared" si="17"/>
        <v/>
      </c>
      <c r="E1898" s="35" t="str">
        <f t="shared" si="18"/>
        <v/>
      </c>
      <c r="F1898" s="35" t="str">
        <f t="shared" si="19"/>
        <v/>
      </c>
      <c r="G1898" s="35" t="str">
        <f t="shared" si="20"/>
        <v/>
      </c>
      <c r="H1898" s="49"/>
      <c r="I1898" s="47" t="str">
        <f t="shared" si="21"/>
        <v/>
      </c>
      <c r="J1898" s="50"/>
      <c r="K1898" s="45" t="b">
        <v>0</v>
      </c>
      <c r="L1898" s="45"/>
      <c r="M1898" s="45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46"/>
    </row>
    <row r="1899">
      <c r="A1899" s="16" t="str">
        <f t="shared" si="14"/>
        <v/>
      </c>
      <c r="B1899" s="16" t="str">
        <f t="shared" si="15"/>
        <v/>
      </c>
      <c r="C1899" s="35" t="str">
        <f t="shared" si="16"/>
        <v/>
      </c>
      <c r="D1899" s="35" t="str">
        <f t="shared" si="17"/>
        <v/>
      </c>
      <c r="E1899" s="35" t="str">
        <f t="shared" si="18"/>
        <v/>
      </c>
      <c r="F1899" s="35" t="str">
        <f t="shared" si="19"/>
        <v/>
      </c>
      <c r="G1899" s="35" t="str">
        <f t="shared" si="20"/>
        <v/>
      </c>
      <c r="H1899" s="49"/>
      <c r="I1899" s="47" t="str">
        <f t="shared" si="21"/>
        <v/>
      </c>
      <c r="J1899" s="50"/>
      <c r="K1899" s="45" t="b">
        <v>0</v>
      </c>
      <c r="L1899" s="45"/>
      <c r="M1899" s="45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46"/>
    </row>
    <row r="1900">
      <c r="A1900" s="16" t="str">
        <f t="shared" si="14"/>
        <v/>
      </c>
      <c r="B1900" s="16" t="str">
        <f t="shared" si="15"/>
        <v/>
      </c>
      <c r="C1900" s="35" t="str">
        <f t="shared" si="16"/>
        <v/>
      </c>
      <c r="D1900" s="35" t="str">
        <f t="shared" si="17"/>
        <v/>
      </c>
      <c r="E1900" s="35" t="str">
        <f t="shared" si="18"/>
        <v/>
      </c>
      <c r="F1900" s="35" t="str">
        <f t="shared" si="19"/>
        <v/>
      </c>
      <c r="G1900" s="35" t="str">
        <f t="shared" si="20"/>
        <v/>
      </c>
      <c r="H1900" s="49"/>
      <c r="I1900" s="47" t="str">
        <f t="shared" si="21"/>
        <v/>
      </c>
      <c r="J1900" s="50"/>
      <c r="K1900" s="45" t="b">
        <v>0</v>
      </c>
      <c r="L1900" s="45"/>
      <c r="M1900" s="45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46"/>
    </row>
    <row r="1901">
      <c r="A1901" s="16" t="str">
        <f t="shared" si="14"/>
        <v/>
      </c>
      <c r="B1901" s="16" t="str">
        <f t="shared" si="15"/>
        <v/>
      </c>
      <c r="C1901" s="35" t="str">
        <f t="shared" si="16"/>
        <v/>
      </c>
      <c r="D1901" s="35" t="str">
        <f t="shared" si="17"/>
        <v/>
      </c>
      <c r="E1901" s="35" t="str">
        <f t="shared" si="18"/>
        <v/>
      </c>
      <c r="F1901" s="35" t="str">
        <f t="shared" si="19"/>
        <v/>
      </c>
      <c r="G1901" s="35" t="str">
        <f t="shared" si="20"/>
        <v/>
      </c>
      <c r="H1901" s="49"/>
      <c r="I1901" s="47" t="str">
        <f t="shared" si="21"/>
        <v/>
      </c>
      <c r="J1901" s="50"/>
      <c r="K1901" s="45" t="b">
        <v>0</v>
      </c>
      <c r="L1901" s="45"/>
      <c r="M1901" s="45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46"/>
    </row>
    <row r="1902">
      <c r="A1902" s="16" t="str">
        <f t="shared" si="14"/>
        <v/>
      </c>
      <c r="B1902" s="16" t="str">
        <f t="shared" si="15"/>
        <v/>
      </c>
      <c r="C1902" s="35" t="str">
        <f t="shared" si="16"/>
        <v/>
      </c>
      <c r="D1902" s="35" t="str">
        <f t="shared" si="17"/>
        <v/>
      </c>
      <c r="E1902" s="35" t="str">
        <f t="shared" si="18"/>
        <v/>
      </c>
      <c r="F1902" s="35" t="str">
        <f t="shared" si="19"/>
        <v/>
      </c>
      <c r="G1902" s="35" t="str">
        <f t="shared" si="20"/>
        <v/>
      </c>
      <c r="H1902" s="49"/>
      <c r="I1902" s="47" t="str">
        <f t="shared" si="21"/>
        <v/>
      </c>
      <c r="J1902" s="50"/>
      <c r="K1902" s="45" t="b">
        <v>0</v>
      </c>
      <c r="L1902" s="45"/>
      <c r="M1902" s="45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  <c r="AK1902" s="2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/>
    </row>
    <row r="1903">
      <c r="A1903" s="16" t="str">
        <f t="shared" si="14"/>
        <v/>
      </c>
      <c r="B1903" s="16" t="str">
        <f t="shared" si="15"/>
        <v/>
      </c>
      <c r="C1903" s="35" t="str">
        <f t="shared" si="16"/>
        <v/>
      </c>
      <c r="D1903" s="35" t="str">
        <f t="shared" si="17"/>
        <v/>
      </c>
      <c r="E1903" s="35" t="str">
        <f t="shared" si="18"/>
        <v/>
      </c>
      <c r="F1903" s="35" t="str">
        <f t="shared" si="19"/>
        <v/>
      </c>
      <c r="G1903" s="35" t="str">
        <f t="shared" si="20"/>
        <v/>
      </c>
      <c r="H1903" s="49"/>
      <c r="I1903" s="47" t="str">
        <f t="shared" si="21"/>
        <v/>
      </c>
      <c r="J1903" s="50"/>
      <c r="K1903" s="45" t="b">
        <v>0</v>
      </c>
      <c r="L1903" s="45"/>
      <c r="M1903" s="45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  <c r="AC1903" s="26"/>
      <c r="AD1903" s="26"/>
      <c r="AE1903" s="26"/>
      <c r="AF1903" s="26"/>
      <c r="AG1903" s="26"/>
      <c r="AH1903" s="26"/>
      <c r="AI1903" s="26"/>
      <c r="AJ1903" s="26"/>
      <c r="AK1903" s="2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46"/>
    </row>
    <row r="1904">
      <c r="A1904" s="16" t="str">
        <f t="shared" si="14"/>
        <v/>
      </c>
      <c r="B1904" s="16" t="str">
        <f t="shared" si="15"/>
        <v/>
      </c>
      <c r="C1904" s="35" t="str">
        <f t="shared" si="16"/>
        <v/>
      </c>
      <c r="D1904" s="35" t="str">
        <f t="shared" si="17"/>
        <v/>
      </c>
      <c r="E1904" s="35" t="str">
        <f t="shared" si="18"/>
        <v/>
      </c>
      <c r="F1904" s="35" t="str">
        <f t="shared" si="19"/>
        <v/>
      </c>
      <c r="G1904" s="35" t="str">
        <f t="shared" si="20"/>
        <v/>
      </c>
      <c r="H1904" s="49"/>
      <c r="I1904" s="47" t="str">
        <f t="shared" si="21"/>
        <v/>
      </c>
      <c r="J1904" s="50"/>
      <c r="K1904" s="45" t="b">
        <v>0</v>
      </c>
      <c r="L1904" s="45"/>
      <c r="M1904" s="45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  <c r="AK1904" s="2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46"/>
    </row>
    <row r="1905">
      <c r="A1905" s="16" t="str">
        <f t="shared" si="14"/>
        <v/>
      </c>
      <c r="B1905" s="16" t="str">
        <f t="shared" si="15"/>
        <v/>
      </c>
      <c r="C1905" s="35" t="str">
        <f t="shared" si="16"/>
        <v/>
      </c>
      <c r="D1905" s="35" t="str">
        <f t="shared" si="17"/>
        <v/>
      </c>
      <c r="E1905" s="35" t="str">
        <f t="shared" si="18"/>
        <v/>
      </c>
      <c r="F1905" s="35" t="str">
        <f t="shared" si="19"/>
        <v/>
      </c>
      <c r="G1905" s="35" t="str">
        <f t="shared" si="20"/>
        <v/>
      </c>
      <c r="H1905" s="49"/>
      <c r="I1905" s="47" t="str">
        <f t="shared" si="21"/>
        <v/>
      </c>
      <c r="J1905" s="50"/>
      <c r="K1905" s="45" t="b">
        <v>0</v>
      </c>
      <c r="L1905" s="45"/>
      <c r="M1905" s="45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  <c r="AC1905" s="26"/>
      <c r="AD1905" s="26"/>
      <c r="AE1905" s="26"/>
      <c r="AF1905" s="26"/>
      <c r="AG1905" s="26"/>
      <c r="AH1905" s="26"/>
      <c r="AI1905" s="26"/>
      <c r="AJ1905" s="26"/>
      <c r="AK1905" s="2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46"/>
    </row>
  </sheetData>
  <autoFilter ref="$A$2:$AK$225"/>
  <customSheetViews>
    <customSheetView guid="{4A9CE8FF-DB98-49F4-A177-0EFA269E5EC3}" filter="1" showAutoFilter="1">
      <autoFilter ref="$A$2:$BO$217">
        <filterColumn colId="0">
          <filters blank="1">
            <filter val="D"/>
          </filters>
        </filterColumn>
        <filterColumn colId="6">
          <filters>
            <filter val="ЕИС Метаданные (Жалненков)"/>
            <filter val="Тригкред (Жигалова)"/>
            <filter val="FIX T&amp;M (Овсянников)"/>
            <filter val="РКТ (Иванова)"/>
            <filter val="Миграция RWA FIX (Аронова)"/>
            <filter val="Премиум (Забияка)"/>
            <filter val="Секьюритизация РБ (Забияка)"/>
            <filter val="Голограмма (Рыбченко)"/>
            <filter val="Миграция Hadoop (Тоцкий)"/>
            <filter val="Мотивация Mass (Герасимов)"/>
            <filter val="КИБ (BI) (Гарьковенко)"/>
            <filter val="СТЦ (Терентьев)"/>
            <filter val="DL (Шахов)"/>
            <filter val="ППП (Фатьков)"/>
            <filter val="ЕИС T&amp;M (Аронова)"/>
            <filter val="Доработки ALM (Трифонова)"/>
            <filter val="Общерозничные задачи (Забияка)"/>
            <filter val="VoC T&amp;M (Мельник)"/>
            <filter val="Ускорение отчетности (Забияка)"/>
            <filter val="Самозанятые (Забияка)"/>
            <filter val="Качество данных (DQ): T&amp;M (Миронов)"/>
            <filter val="Отчет по маржинальности (Шергунов)"/>
            <filter val="Разработка NRT для РБ (Забияка)"/>
            <filter val="Мотивация сети РБ\ЗП (Забияка)"/>
            <filter val="Миграция DWH на GP+Airflow FIX (Дворников)"/>
            <filter val="Горшенина+Яковлева агрегатор (FIX)"/>
            <filter val="Big Data Platform (Тоцкий)"/>
            <filter val="УФБА (Шергунов)"/>
            <filter val="ЕИС FIX (Горшенина)"/>
            <filter val="БКИ T&amp;M (Третьякова)"/>
            <filter val="Проектное финансирование (КИБ)"/>
          </filters>
        </filterColumn>
        <filterColumn colId="9">
          <filters>
            <filter val="Великоборец Мария"/>
            <filter val="Болотова Алина"/>
            <filter val="Филиппов Алексей"/>
            <filter val="Черепанов Захар"/>
            <filter val="Кондратьева Александра"/>
            <filter val="Миркискина Александра"/>
            <filter val="Лазаренков Никита"/>
            <filter val="Ушков Иван"/>
            <filter val="Гусева Жанна"/>
            <filter val="Болдин-Илюхин Иван"/>
            <filter val="Круглов Артём"/>
            <filter val="Волченков Виталий"/>
            <filter val="Жовтяк Ярослав"/>
            <filter val="Савельев Иван"/>
            <filter val="Сергиенко Алексей"/>
            <filter val="Перелыгина Александра"/>
            <filter val="Цуба Виктория"/>
            <filter val="Баранова Анастасия"/>
            <filter val="Кузнецов Александр"/>
            <filter val="Рогов Юрий"/>
            <filter val="Дворянкин Евгений"/>
            <filter val="Касаткин Михаил"/>
            <filter val="Шульган Данил"/>
            <filter val="Яковлева Елена"/>
            <filter val="Исламов Рашид"/>
            <filter val="Кравченя Юлия"/>
            <filter val="Гринченко Елена"/>
            <filter val="Фрид Зинаида"/>
            <filter val="Зыкова Дарья"/>
            <filter val="Патик Елена"/>
            <filter val="Соловьева Ирина"/>
            <filter val="Гусев Артем"/>
            <filter val="Лавриненко Мария"/>
            <filter val="Бакулевская Алина"/>
            <filter val="Бельтиков Адьян"/>
            <filter val="Украинцев Максим"/>
            <filter val="Волков Никита"/>
            <filter val="Алексеев Андрей"/>
            <filter val="Курненков Артём"/>
            <filter val="Гринев Тимофей"/>
            <filter val="Куликов Михаил"/>
            <filter val="Часовская Алина"/>
            <filter val="Смехнов Ярослав"/>
            <filter val="Куликовский Олег"/>
            <filter val="Романова Екатерина"/>
            <filter val="Иванова Аделина"/>
            <filter val="Мамедов Владислав"/>
            <filter val="Ковалева Эвелина"/>
            <filter val="Молоденов Константин"/>
            <filter val="Чурсин Михаил"/>
            <filter val="Панкратов Тихон"/>
            <filter val="Топалян Артём"/>
            <filter val="Петров Илья"/>
            <filter val="Никитин Владимир"/>
            <filter val="Веденичев Игорь"/>
            <filter val="Клинков Сергей"/>
            <filter val="Палатова Татьяна"/>
            <filter val="Лешкевич Александра"/>
            <filter val="Панова Анастасия"/>
            <filter val="Тимофейчик Роман"/>
            <filter val="Касперович Данил"/>
            <filter val="Альмухаметова Татьяна"/>
            <filter val="Алексеев Георгий"/>
            <filter val="Романовская Жанна"/>
            <filter val="Ловягина Ирина"/>
            <filter val="Анисимова Дарья"/>
            <filter val="Цой Екатерина"/>
            <filter val="Пискарев Максим"/>
            <filter val="Алёшин Семён"/>
            <filter val="Габдуллин Адель"/>
            <filter val="Цыбров Кирилл"/>
            <filter val="Козлов Данила"/>
            <filter val="Хамидов Дамир"/>
            <filter val="Кошелева Вера"/>
            <filter val="Пичугин Владислав"/>
            <filter val="Ткач Галина"/>
            <filter val="Рыбаков Станислав"/>
            <filter val="Аникушина Валерия"/>
            <filter val="Лолаев Георгий"/>
            <filter val="Зык Любовь"/>
            <filter val="Филатов Кирилл"/>
            <filter val="Гродзь Анастасия"/>
            <filter val="Соболев Иван"/>
            <filter val="Храмович Инна"/>
            <filter val="Плахов Игорь"/>
            <filter val="Васильев Феодосий"/>
            <filter val="Анисимов Николай"/>
            <filter val="Жакупов Марат"/>
            <filter val="Козлова Анастасия"/>
            <filter val="Неведомая Евгения"/>
            <filter val="Пронин Владимир"/>
            <filter val="Шипарев Георгий"/>
            <filter val="Черкашина Анна"/>
            <filter val="Наклескин Никита"/>
            <filter val="Масленкина Анастасия"/>
            <filter val="Сазонова Виктория"/>
            <filter val="Камышанов Денис"/>
            <filter val="Филиппова Анастасия"/>
            <filter val="Зобов Никита"/>
            <filter val="Афанасьев Иван"/>
            <filter val="Усова Анастасия"/>
            <filter val="Нет A"/>
            <filter val="Нет D"/>
            <filter val="Ефименко Алёна"/>
            <filter val="Ильина Вера"/>
            <filter val="Хоменко Оксана"/>
            <filter val="Морозов Дмитрий"/>
            <filter val="Гиряев Антон"/>
            <filter val="Савина Наталья"/>
            <filter val="Коломиец Сергей"/>
            <filter val="Сафронова Кристина"/>
            <filter val="Сапко Анастасия"/>
            <filter val="Ципко Алина"/>
            <filter val="Прохорова Дарья"/>
            <filter val="Даровская Анастасия"/>
            <filter val="Кузьмин Руслан"/>
            <filter val="Сакульская Валерия"/>
            <filter val="Сорокина Дания"/>
            <filter val="Локтионова Екатерина"/>
            <filter val="Крашенинников Артем"/>
          </filters>
        </filterColumn>
        <sortState ref="A2:BO217">
          <sortCondition ref="G2:G217"/>
          <sortCondition ref="J2:J217"/>
        </sortState>
      </autoFilter>
    </customSheetView>
    <customSheetView guid="{0A1E9C92-233C-4240-B7E9-A381BA49D583}" filter="1" showAutoFilter="1">
      <autoFilter ref="$A$2:$BO$906">
        <sortState ref="A2:BO906">
          <sortCondition ref="J2:J906"/>
        </sortState>
      </autoFilter>
    </customSheetView>
    <customSheetView guid="{3A22173A-D826-4FDD-953A-55AC7F3B4CD1}" filter="1" showAutoFilter="1">
      <autoFilter ref="$A$2:$AL$1905">
        <filterColumn colId="8">
          <filters>
            <filter val="Иванюк Полина"/>
            <filter val="PM0"/>
            <filter val="Клименко Алексей"/>
            <filter val="Максимова Анастасия"/>
            <filter val="Веденичев Игорь"/>
            <filter val="Ярошевич Анжела"/>
            <filter val="Бакулевская Алина"/>
          </filters>
        </filterColumn>
      </autoFilter>
    </customSheetView>
    <customSheetView guid="{6CA5BFA6-BCBA-45D1-9206-FA9E4DBDD9FC}" filter="1" showAutoFilter="1">
      <autoFilter ref="$A$1:$AL$906"/>
    </customSheetView>
    <customSheetView guid="{B3776029-3933-4227-9C0C-5A3D49F2DF20}" filter="1" showAutoFilter="1">
      <autoFilter ref="$A$2:$BO$160"/>
    </customSheetView>
    <customSheetView guid="{ECC265E4-C42D-4744-8BF1-FF38EFB9B6D2}" filter="1" showAutoFilter="1">
      <autoFilter ref="$A$2:$M$906"/>
    </customSheetView>
    <customSheetView guid="{2412C4E0-9ECE-4AC2-ADF6-1E158D88F66D}" filter="1" showAutoFilter="1">
      <autoFilter ref="$A$2:$AL$906">
        <filterColumn colId="9">
          <filters>
            <filter val="Гусева Жанна"/>
            <filter val="Патик Елена"/>
            <filter val="Гусев Артем"/>
            <filter val="Лавриненко Мария"/>
            <filter val="Украинцев Максим"/>
            <filter val="Куликов Михаил"/>
            <filter val="Микрюкова Полина"/>
            <filter val="Панкратов Тихон"/>
            <filter val="Топалян Артём"/>
            <filter val="Веденичев Игорь"/>
            <filter val="Пискарев Максим"/>
            <filter val="Габдуллин Адель"/>
            <filter val="Неведомая Евгения"/>
            <filter val="Сазонова Виктория"/>
            <filter val="Нет A"/>
            <filter val="Нет D"/>
            <filter val="Морозов Дмитрий"/>
            <filter val="Коломиец Сергей"/>
            <filter val="Сапко Анастасия"/>
          </filters>
        </filterColumn>
        <sortState ref="A2:AL906">
          <sortCondition ref="J2:J906"/>
          <sortCondition ref="H2:H906"/>
        </sortState>
      </autoFilter>
    </customSheetView>
    <customSheetView guid="{8B20C21B-F142-42CC-8B8B-457CC21F46AF}" filter="1" showAutoFilter="1">
      <autoFilter ref="$A$2:$AL$906">
        <filterColumn colId="9">
          <filters>
            <filter val="Великоборец Мария"/>
            <filter val="Филиппов Алексей"/>
            <filter val="Лазаренков Никита"/>
            <filter val="Гусева Жанна"/>
            <filter val="Болдин-Илюхин Иван"/>
            <filter val="Круглов Артём"/>
            <filter val="Жовтяк Ярослав"/>
            <filter val="Савельев Иван"/>
            <filter val="Сергиенко Алексей"/>
            <filter val="Перелыгина Александра"/>
            <filter val="Баранова Анастасия"/>
            <filter val="Кузнецов Александр"/>
            <filter val="Рогов Юрий"/>
            <filter val="Касаткин Михаил"/>
            <filter val="Шульган Данил"/>
            <filter val="Гринченко Елена"/>
            <filter val="Фрид Зинаида"/>
            <filter val="Зыкова Дарья"/>
            <filter val="Патик Елена"/>
            <filter val="Соловьева Ирина"/>
            <filter val="Лавриненко Мария"/>
            <filter val="Бакулевская Алина"/>
            <filter val="Бельтиков Адьян"/>
            <filter val="Украинцев Максим"/>
            <filter val="Волков Никита"/>
            <filter val="Алексеев Андрей"/>
            <filter val="Курненков Артём"/>
            <filter val="Гринев Тимофей"/>
            <filter val="Куликов Михаил"/>
            <filter val="Смехнов Ярослав"/>
            <filter val="Бутков Евгений"/>
            <filter val="Иванова Аделина"/>
            <filter val="Мамедов Владислав"/>
            <filter val="Микрюкова Полина"/>
            <filter val="Ковалева Эвелина"/>
            <filter val="Молоденов Константин"/>
            <filter val="Панкратов Тихон"/>
            <filter val="Топалян Артём"/>
            <filter val="Петров Илья"/>
            <filter val="Веденичев Игорь"/>
            <filter val="Клинков Сергей"/>
            <filter val="Палатова Татьяна"/>
            <filter val="Панова Анастасия"/>
            <filter val="Тимофейчик Роман"/>
            <filter val="Касперович Данил"/>
            <filter val="Романовская Жанна"/>
            <filter val="Ловягина Ирина"/>
            <filter val="Анисимова Дарья"/>
            <filter val="Пискарев Максим"/>
            <filter val="Алёшин Семён"/>
            <filter val="Захаренков Владислав"/>
            <filter val="Габдуллин Адель"/>
            <filter val="Цыбров Кирилл"/>
            <filter val="Козлов Данила"/>
            <filter val="Хамидов Дамир"/>
            <filter val="Кошелева Вера"/>
            <filter val="Ткач Галина"/>
            <filter val="Аникушина Валерия"/>
            <filter val="Лолаев Георгий"/>
            <filter val="Филатов Кирилл"/>
            <filter val="Гродзь Анастасия"/>
            <filter val="Храмович Инна"/>
            <filter val="Васильев Феодосий"/>
            <filter val="Анисимов Николай"/>
            <filter val="Жакупов Марат"/>
            <filter val="Козлова Анастасия"/>
            <filter val="Неведомая Евгения"/>
            <filter val="Шипарев Георгий"/>
            <filter val="Черкашина Анна"/>
            <filter val="Наклескин Никита"/>
            <filter val="Зобов Никита"/>
            <filter val="Афанасьев Иван"/>
            <filter val="Усова Анастасия"/>
            <filter val="Ефименко Алёна"/>
            <filter val="Хоменко Оксана"/>
            <filter val="Гиряев Антон"/>
            <filter val="Савина Наталья"/>
            <filter val="Коломиец Сергей"/>
            <filter val="Ципко Алина"/>
            <filter val="Прохорова Дарья"/>
            <filter val="Даровская Анастасия"/>
            <filter val="Кузьмин Руслан"/>
            <filter val="Сорокина Дания"/>
            <filter val="Локтионова Екатерина"/>
            <filter val="Крашенинников Артем"/>
          </filters>
        </filterColumn>
      </autoFilter>
    </customSheetView>
    <customSheetView guid="{5FE5029F-4266-4AC1-829D-03FB18CE7B5C}" filter="1" showAutoFilter="1">
      <autoFilter ref="$A$2:$M$6">
        <filterColumn colId="9">
          <filters>
            <filter val="Альмухаметова Татьяна"/>
            <filter val="Анисимов Николай"/>
          </filters>
        </filterColumn>
      </autoFilter>
    </customSheetView>
    <customSheetView guid="{83AE453F-8C8D-4CEB-846B-214669E7E8EF}" filter="1" showAutoFilter="1">
      <autoFilter ref="$A$2:$AK$1905">
        <filterColumn colId="9">
          <filters>
            <filter val="Волков Никита"/>
            <filter val="Микрюкова Полина"/>
            <filter val="Неведомая Евгения"/>
          </filters>
        </filterColumn>
      </autoFilter>
    </customSheetView>
    <customSheetView guid="{5E5C8DF7-1C7A-4F56-9915-0EE93D33F415}" filter="1" showAutoFilter="1">
      <autoFilter ref="$A$2:$AL$906">
        <filterColumn colId="3">
          <filters>
            <filter val="t&amp;m"/>
          </filters>
        </filterColumn>
        <filterColumn colId="5">
          <filters blank="1">
            <filter val="Беднова FIX"/>
            <filter val="Третьякова T&amp;M"/>
            <filter val="Рыбченко T&amp;M"/>
            <filter val="Дворников FIX"/>
            <filter val="Жигалова T&amp;M"/>
            <filter val="ACRM Support"/>
            <filter val="ACRM T&amp;M"/>
            <filter val="Забияка T&amp;M"/>
            <filter val="ACRM FIX"/>
            <filter val="Аронова FIX"/>
            <filter val="КИБ"/>
            <filter val="Жалненков T&amp;M"/>
            <filter val="Тоцкий T&amp;M"/>
            <filter val="ACRM Сопровождение потоков ODH"/>
            <filter val="Аронова T&amp;M"/>
            <filter val="Мельник T&amp;M"/>
            <filter val="Герасимов T&amp;M"/>
            <filter val="Гарьковенко T&amp;M"/>
            <filter val="Горшенина+Яковлева FIX"/>
            <filter val="Маточкин T&amp;M"/>
            <filter val="Шергунов T&amp;M"/>
            <filter val="Фатьков T&amp;M"/>
            <filter val="Миронов T&amp;M"/>
            <filter val="ACRM Импортозамещение"/>
            <filter val="Овсянников T&amp;M"/>
            <filter val="Заболоцкий FIX"/>
            <filter val="Пожидаев T&amp;M"/>
            <filter val="Шахов T&amp;M"/>
            <filter val="Матвейкина T&amp;M"/>
          </filters>
        </filterColumn>
        <filterColumn colId="8">
          <filters blank="1">
            <filter val="Иванюк Полина"/>
            <filter val="PM0"/>
            <filter val="Клименко Алексей"/>
            <filter val="Максимова Анастасия"/>
            <filter val="Веденичев Игорь"/>
            <filter val="Ярошевич Анжела"/>
            <filter val="Бакулевская Алина"/>
            <filter val="Яковлева Елена"/>
          </filters>
        </filterColumn>
        <filterColumn colId="4">
          <filters blank="1">
            <filter val="Пожидаев"/>
            <filter val="ACRM"/>
            <filter val="Аронова"/>
            <filter val="Фатьков"/>
            <filter val="Жалненков"/>
            <filter val="Беднова"/>
            <filter val="Маточкин"/>
            <filter val="Герасимов"/>
            <filter val="Забияка"/>
            <filter val="Овсянников"/>
            <filter val="КИБ"/>
            <filter val="Жигалова"/>
            <filter val="Гарьковенко"/>
            <filter val="Тоцкий"/>
            <filter val="Мельник"/>
            <filter val="Горшенина+Яковлева"/>
            <filter val="Дворников"/>
            <filter val="Матвейкина"/>
            <filter val="Третьякова"/>
            <filter val="Шергунов"/>
            <filter val="Рыбченко"/>
            <filter val="Шахов"/>
            <filter val="Миронов"/>
          </filters>
        </filterColumn>
      </autoFilter>
    </customSheetView>
    <customSheetView guid="{28D70717-BD2C-4F67-9A3F-586A85D04F67}" filter="1" showAutoFilter="1">
      <autoFilter ref="$A$2:$BJ$906">
        <filterColumn colId="8">
          <filters>
            <filter val="Иванюк Полина"/>
            <filter val="PM0"/>
            <filter val="Татаева Мария"/>
            <filter val="Клименко Алексей"/>
            <filter val="Максимова Анастасия"/>
            <filter val="Веденичев Игорь"/>
            <filter val="Ярошевич Анжела"/>
            <filter val="Бакулевская Алина"/>
          </filters>
        </filterColumn>
        <sortState ref="A2:BJ906">
          <sortCondition ref="J2:J906"/>
        </sortState>
      </autoFilter>
    </customSheetView>
    <customSheetView guid="{CA09D921-DC69-4B95-BF9A-4F27A392B3DC}" filter="1" showAutoFilter="1">
      <autoFilter ref="$A$2:$AL$929"/>
    </customSheetView>
    <customSheetView guid="{6C8E1AB9-6D98-40BB-9A87-7B796B712DED}" filter="1" showAutoFilter="1">
      <autoFilter ref="$A$2:$BO$906">
        <filterColumn colId="9">
          <filters>
            <filter val="Великоборец Мария"/>
            <filter val="Филиппов Алексей"/>
            <filter val="Лазаренков Никита"/>
            <filter val="Гусева Жанна"/>
            <filter val="Болдин-Илюхин Иван"/>
            <filter val="Круглов Артём"/>
            <filter val="Жовтяк Ярослав"/>
            <filter val="Савельев Иван"/>
            <filter val="Сергиенко Алексей"/>
            <filter val="Перелыгина Александра"/>
            <filter val="Баранова Анастасия"/>
            <filter val="Кузнецов Александр"/>
            <filter val="Рогов Юрий"/>
            <filter val="Касаткин Михаил"/>
            <filter val="Шульган Данил"/>
            <filter val="Гринченко Елена"/>
            <filter val="Фрид Зинаида"/>
            <filter val="Зыкова Дарья"/>
            <filter val="Патик Елена"/>
            <filter val="Соловьева Ирина"/>
            <filter val="Лавриненко Мария"/>
            <filter val="Бакулевская Алина"/>
            <filter val="Бельтиков Адьян"/>
            <filter val="Украинцев Максим"/>
            <filter val="Волков Никита"/>
            <filter val="Алексеев Андрей"/>
            <filter val="Курненков Артём"/>
            <filter val="Гринев Тимофей"/>
            <filter val="Куликов Михаил"/>
            <filter val="Смехнов Ярослав"/>
            <filter val="Бутков Евгений"/>
            <filter val="Иванова Аделина"/>
            <filter val="Мамедов Владислав"/>
            <filter val="Микрюкова Полина"/>
            <filter val="Ковалева Эвелина"/>
            <filter val="Молоденов Константин"/>
            <filter val="Панкратов Тихон"/>
            <filter val="Топалян Артём"/>
            <filter val="Петров Илья"/>
            <filter val="Веденичев Игорь"/>
            <filter val="Клинков Сергей"/>
            <filter val="Палатова Татьяна"/>
            <filter val="Панова Анастасия"/>
            <filter val="Тимофейчик Роман"/>
            <filter val="Касперович Данил"/>
            <filter val="Романовская Жанна"/>
            <filter val="Ловягина Ирина"/>
            <filter val="Анисимова Дарья"/>
            <filter val="Пискарев Максим"/>
            <filter val="Алёшин Семён"/>
            <filter val="Захаренков Владислав"/>
            <filter val="Габдуллин Адель"/>
            <filter val="Цыбров Кирилл"/>
            <filter val="Козлов Данила"/>
            <filter val="Хамидов Дамир"/>
            <filter val="Кошелева Вера"/>
            <filter val="Ткач Галина"/>
            <filter val="Аникушина Валерия"/>
            <filter val="Лолаев Георгий"/>
            <filter val="Филатов Кирилл"/>
            <filter val="Гродзь Анастасия"/>
            <filter val="Храмович Инна"/>
            <filter val="Васильев Феодосий"/>
            <filter val="Анисимов Николай"/>
            <filter val="Жакупов Марат"/>
            <filter val="Козлова Анастасия"/>
            <filter val="Неведомая Евгения"/>
            <filter val="Шипарев Георгий"/>
            <filter val="Черкашина Анна"/>
            <filter val="Наклескин Никита"/>
            <filter val="Зобов Никита"/>
            <filter val="Афанасьев Иван"/>
            <filter val="Усова Анастасия"/>
            <filter val="Хоменко Оксана"/>
            <filter val="Гиряев Антон"/>
            <filter val="Савина Наталья"/>
            <filter val="Коломиец Сергей"/>
            <filter val="Ципко Алина"/>
            <filter val="Прохорова Дарья"/>
            <filter val="Даровская Анастасия"/>
            <filter val="Кузьмин Руслан"/>
            <filter val="Сорокина Дания"/>
            <filter val="Локтионова Екатерина"/>
          </filters>
        </filterColumn>
        <sortState ref="A2:BO906">
          <sortCondition ref="J2:J906"/>
          <sortCondition ref="G2:G906"/>
          <sortCondition ref="I2:I906"/>
        </sortState>
      </autoFilter>
    </customSheetView>
    <customSheetView guid="{3CF7B6CF-8D23-44AA-8268-63750711F116}" filter="1" showAutoFilter="1">
      <autoFilter ref="$A$2:$BO$11">
        <filterColumn colId="8">
          <filters>
            <filter val="Ярошевич Анжела"/>
            <filter val="Бакулевская Алина"/>
          </filters>
        </filterColumn>
      </autoFilter>
    </customSheetView>
    <customSheetView guid="{0E2B4B3B-0300-434C-8F82-1CBAC14C371A}" filter="1" showAutoFilter="1">
      <autoFilter ref="$A$2:$AL$906"/>
    </customSheetView>
    <customSheetView guid="{ED0411E1-6F91-40B5-BA40-EB1A435AC3AB}" filter="1" showAutoFilter="1">
      <autoFilter ref="$A$1:$AL$906">
        <filterColumn colId="3">
          <filters>
            <filter val="Тип"/>
            <filter val="t&amp;m"/>
          </filters>
        </filterColumn>
        <filterColumn colId="8">
          <filters blank="1">
            <filter val="Иванюк Полина"/>
            <filter val="PM0"/>
            <filter val="Клименко Алексей"/>
            <filter val="Максимова Анастасия"/>
            <filter val="Веденичев Игорь"/>
            <filter val="Ярошевич Анжела"/>
            <filter val="PM"/>
            <filter val="Бакулевская Алина"/>
            <filter val="Яковлева Елена"/>
          </filters>
        </filterColumn>
      </autoFilter>
    </customSheetView>
    <customSheetView guid="{725E4D07-AAEC-4260-A06F-66BD70146D23}" filter="1" showAutoFilter="1">
      <autoFilter ref="$A$2:$BJ$469">
        <filterColumn colId="7">
          <filters blank="1">
            <filter val="ЕИС Метаданные (Жалненков)"/>
            <filter val="Тригкред (Жигалова)"/>
            <filter val="FIX T&amp;M (Овсянников)"/>
            <filter val="ACRM Импортозамещение (Борисевич)"/>
            <filter val="Управленческая отчетность сети РБ\ЗП (Забияка)"/>
            <filter val="РКТ (Иванова)"/>
            <filter val="Сопровождение потоков ODH"/>
            <filter val="Миграция RWA FIX (Аронова)"/>
            <filter val="Mass Управленческая отчетность (Герасимов)"/>
            <filter val="Секьюритизация РБ (Забияка)"/>
            <filter val="77.Премиум (Забияка)"/>
            <filter val="ППП (Мельник)"/>
            <filter val="Мотивация Mass (Герасимов)"/>
            <filter val="СТЦ (Терентьев)"/>
            <filter val="Big Data Platform"/>
            <filter val="DL (Шахов)"/>
            <filter val="Миграция RWA T&amp;M (Аронова)"/>
            <filter val="ЕИС T&amp;M (Аронова)"/>
            <filter val="Доработки ALM (Трифонова)"/>
            <filter val="Финансы (Овсянников)"/>
            <filter val="Общерозничные задачи (Забияка)"/>
            <filter val="VoC T&amp;M (Мельник)"/>
            <filter val="ACRM Задачи T&amp;M (Борисевич)"/>
            <filter val="Инвестиции (Забияка)"/>
            <filter val="170.Самозанятые (Забияка)"/>
            <filter val="Ускорение отчетности (Забияка)"/>
            <filter val="ACRM Support (Борисевич)"/>
            <filter val="Качество данных (DQ): T&amp;M (Миронов)"/>
            <filter val="FIX Маскирование (Беднова)"/>
            <filter val="ACRM FIX (Борисевич)"/>
            <filter val="DMDC (Жалненков)"/>
            <filter val="Отчет по маржинальности (Шергунов)"/>
            <filter val="DG (Пожидаев)"/>
            <filter val="Разработка NRT для РБ (Забияка)"/>
            <filter val="Мотивация сети РБ\ЗП (Забияка)"/>
            <filter val="Миграция DWH на GP+Airflow FIX (Дворников)"/>
            <filter val="CSDL Сопровождение 2025"/>
            <filter val="АСУ Налоги"/>
            <filter val="Горшенина+Яковлева агрегатор (FIX)"/>
            <filter val="Отчетность СБ (Маточкин)"/>
            <filter val="КИБ (BI) (Герасимов)"/>
            <filter val="PUMA (Каменецких)"/>
            <filter val="УФБА (Шергунов)"/>
            <filter val="Ипотека (Забияка)"/>
            <filter val="Миграция Hadoop"/>
            <filter val="Заболоцкий (FIX)"/>
            <filter val="ЕИС FIX (Горшенина)"/>
            <filter val="БКИ T&amp;M (Третьякова)"/>
            <filter val="Голограмма (Мельник)"/>
            <filter val="Проектное финансирование (КИБ)"/>
          </filters>
        </filterColumn>
        <filterColumn colId="9">
          <filters>
            <filter val="Великоборец Мария"/>
            <filter val="Болотова Алина"/>
            <filter val="Филиппов Алексей"/>
            <filter val="Черепанов Захар"/>
            <filter val="Кондратьева Александра"/>
            <filter val="Миркискина Александра"/>
            <filter val="Лазаренков Никита"/>
            <filter val="Ушков Иван"/>
            <filter val="Гусева Жанна"/>
            <filter val="Болдин-Илюхин Иван"/>
            <filter val="Круглов Артём"/>
            <filter val="Волченков Виталий"/>
            <filter val="Жовтяк Ярослав"/>
            <filter val="Савельев Иван"/>
            <filter val="Сергиенко Алексей"/>
            <filter val="Перелыгина Александра"/>
            <filter val="Цуба Виктория"/>
            <filter val="Баранова Анастасия"/>
            <filter val="Кузнецов Александр"/>
            <filter val="Рогов Юрий"/>
            <filter val="Дворянкин Евгений"/>
            <filter val="Касаткин Михаил"/>
            <filter val="Шульган Данил"/>
            <filter val="Яковлева Елена"/>
            <filter val="Исламов Рашид"/>
            <filter val="Кравченя Юлия"/>
            <filter val="Гринченко Елена"/>
            <filter val="Фрид Зинаида"/>
            <filter val="Зыкова Дарья"/>
            <filter val="Патик Елена"/>
            <filter val="Соловьева Ирина"/>
            <filter val="Гусев Артем"/>
            <filter val="Лавриненко Мария"/>
            <filter val="Бакулевская Алина"/>
            <filter val="Бельтиков Адьян"/>
            <filter val="Украинцев Максим"/>
            <filter val="Волков Никита"/>
            <filter val="Алексеев Андрей"/>
            <filter val="Курненков Артём"/>
            <filter val="Гринев Тимофей"/>
            <filter val="Куликов Михаил"/>
            <filter val="Часовская Алина"/>
            <filter val="Смехнов Ярослав"/>
            <filter val="Куликовский Олег"/>
            <filter val="Романова Екатерина"/>
            <filter val="Бутков Евгений"/>
            <filter val="Иванова Аделина"/>
            <filter val="Мамедов Владислав"/>
            <filter val="Микрюкова Полина"/>
            <filter val="Ковалева Эвелина"/>
            <filter val="Молоденов Константин"/>
            <filter val="Чурсин Михаил"/>
            <filter val="Панкратов Тихон"/>
            <filter val="Топалян Артём"/>
            <filter val="Петров Илья"/>
            <filter val="Никитин Владимир"/>
            <filter val="Веденичев Игорь"/>
            <filter val="Клинков Сергей"/>
            <filter val="Палатова Татьяна"/>
            <filter val="Лешкевич Александра"/>
            <filter val="Панова Анастасия"/>
            <filter val="Тимофейчик Роман"/>
            <filter val="Касперович Данил"/>
            <filter val="Альмухаметова Татьяна"/>
            <filter val="Алексеев Георгий"/>
            <filter val="Романовская Жанна"/>
            <filter val="Ловягина Ирина"/>
            <filter val="Анисимова Дарья"/>
            <filter val="Цой Екатерина"/>
            <filter val="Каленик Елена"/>
            <filter val="Пискарев Максим"/>
            <filter val="Алёшин Семён"/>
            <filter val="Захаренков Владислав"/>
            <filter val="Габдуллин Адель"/>
            <filter val="Цыбров Кирилл"/>
            <filter val="Козлов Данила"/>
            <filter val="Хамидов Дамир"/>
            <filter val="Кошелева Вера"/>
            <filter val="Пичугин Владислав"/>
            <filter val="Ткач Галина"/>
            <filter val="Рыбаков Станислав"/>
            <filter val="Аникушина Валерия"/>
            <filter val="Лолаев Георгий"/>
            <filter val="Зык Любовь"/>
            <filter val="Филатов Кирилл"/>
            <filter val="Гродзь Анастасия"/>
            <filter val="Соболев Иван"/>
            <filter val="Храмович Инна"/>
            <filter val="Плахов Игорь"/>
            <filter val="Васильев Феодосий"/>
            <filter val="Анисимов Николай"/>
            <filter val="Жакупов Марат"/>
            <filter val="Козлова Анастасия"/>
            <filter val="Неведомая Евгения"/>
            <filter val="Пронин Владимир"/>
            <filter val="Шипарев Георгий"/>
            <filter val="Черкашина Анна"/>
            <filter val="Наклескин Никита"/>
            <filter val="Масленкина Анастасия"/>
            <filter val="Сазонова Виктория"/>
            <filter val="Камышанов Денис"/>
            <filter val="Филиппова Анастасия"/>
            <filter val="Зобов Никита"/>
            <filter val="Афанасьев Иван"/>
            <filter val="Усова Анастасия"/>
            <filter val="Нет A"/>
            <filter val="Нет D"/>
            <filter val="Ефименко Алёна"/>
            <filter val="Ильина Вера"/>
            <filter val="Хоменко Оксана"/>
            <filter val="Морозов Дмитрий"/>
            <filter val="Гиряев Антон"/>
            <filter val="Савина Наталья"/>
            <filter val="Коломиец Сергей"/>
            <filter val="Сафронова Кристина"/>
            <filter val="Сапко Анастасия"/>
            <filter val="Ципко Алина"/>
            <filter val="Прохорова Дарья"/>
            <filter val="Даровская Анастасия"/>
            <filter val="Кузьмин Руслан"/>
            <filter val="Сакульская Валерия"/>
            <filter val="Сорокина Дания"/>
            <filter val="Локтионова Екатерина"/>
            <filter val="Крашенинников Артем"/>
          </filters>
        </filterColumn>
      </autoFilter>
    </customSheetView>
    <customSheetView guid="{809E6037-70CD-4EDD-9208-84A1F1C9C004}" filter="1" showAutoFilter="1">
      <autoFilter ref="$A$2:$AL$906">
        <filterColumn colId="9">
          <filters>
            <filter val="Соловьева Ирина"/>
            <filter val="Микрюкова Полина"/>
            <filter val="Габдуллин Адель"/>
            <filter val="Неведомая Евгения"/>
            <filter val="Сазонова Виктория"/>
            <filter val="Кузьмин Руслан"/>
          </filters>
        </filterColumn>
        <sortState ref="A2:AL906">
          <sortCondition ref="H2:H906"/>
          <sortCondition ref="J2:J906"/>
        </sortState>
      </autoFilter>
    </customSheetView>
    <customSheetView guid="{82A32229-162D-48EB-9E6A-52E2EE8902D3}" filter="1" showAutoFilter="1">
      <autoFilter ref="$A$1:$AL$906"/>
    </customSheetView>
    <customSheetView guid="{7AC0AF99-CF1F-4746-9EAD-C450C4A485BB}" filter="1" showAutoFilter="1">
      <autoFilter ref="$A$2:$AL$220">
        <filterColumn colId="6">
          <filters>
            <filter val="FIX T&amp;M (Овсянников)"/>
            <filter val="Миграция RWA FIX (Аронова)"/>
            <filter val="Миграция RWA T&amp;M (Аронова)"/>
            <filter val="DMDC (Жалненков)"/>
            <filter val="DG (Пожидаев)"/>
          </filters>
        </filterColumn>
      </autoFilter>
    </customSheetView>
    <customSheetView guid="{016D974A-0AF3-4C79-8DEB-8B623807632B}" filter="1" showAutoFilter="1">
      <autoFilter ref="$A$2:$AL$906">
        <filterColumn colId="6">
          <filters>
            <filter val="ЕИС Метаданные (Жалненков)"/>
            <filter val="Тригкред (Жигалова)"/>
            <filter val="FIX T&amp;M (Овсянников)"/>
            <filter val="ACRM Импортозамещение (Борисевич)"/>
            <filter val="Управленческая отчетность сети РБ\ЗП (Забияка)"/>
            <filter val="Сопровождение CSDL (КИБ)"/>
            <filter val="РКТ (Иванова)"/>
            <filter val="Миграция RWA FIX (Аронова)"/>
            <filter val="Премиум (Забияка)"/>
            <filter val="Mass Управленческая отчетность (Герасимов)"/>
            <filter val="Секьюритизация РБ (Забияка)"/>
            <filter val="АСУ Налоги (Матвейкина)"/>
            <filter val="Голограмма (Рыбченко)"/>
            <filter val="Миграция Hadoop (Тоцкий)"/>
            <filter val="Мотивация Mass (Герасимов)"/>
            <filter val="КИБ (BI) (Гарьковенко)"/>
            <filter val="СТЦ (Терентьев)"/>
            <filter val="DL (Шахов)"/>
            <filter val="ППП (Фатьков)"/>
            <filter val="Миграция RWA T&amp;M (Аронова)"/>
            <filter val="ЕИС T&amp;M (Аронова)"/>
            <filter val="Доработки ALM (Трифонова)"/>
            <filter val="Финансы (Овсянников)"/>
            <filter val="Общерозничные задачи (Забияка)"/>
            <filter val="VoC T&amp;M (Мельник)"/>
            <filter val="ACRM Задачи T&amp;M (Борисевич)"/>
            <filter val="Инвестиции (Забияка)"/>
            <filter val="PUMA (Шахов)"/>
            <filter val="Ускорение отчетности (Забияка)"/>
            <filter val="Самозанятые (Забияка)"/>
            <filter val="ACRM Support (Борисевич)"/>
            <filter val="Качество данных (DQ): T&amp;M (Миронов)"/>
            <filter val="FIX Маскирование (Беднова)"/>
            <filter val="ACRM FIX (Борисевич)"/>
            <filter val="DMDC (Жалненков)"/>
            <filter val="ACRM Сопровождение потоков ODH"/>
            <filter val="Отчет по маржинальности (Шергунов)"/>
            <filter val="DG (Пожидаев)"/>
            <filter val="Разработка NRT для РБ (Забияка)"/>
            <filter val="Мотивация сети РБ\ЗП (Забияка)"/>
            <filter val="Миграция DWH на GP+Airflow FIX (Дворников)"/>
            <filter val="Горшенина+Яковлева агрегатор (FIX)"/>
            <filter val="Big Data Platform (Тоцкий)"/>
            <filter val="Отчетность СБ (Маточкин)"/>
            <filter val="УФБА (Шергунов)"/>
            <filter val="Ипотека (Забияка)"/>
            <filter val="Заболоцкий (FIX)"/>
            <filter val="ЕИС FIX (Горшенина)"/>
            <filter val="БКИ T&amp;M (Третьякова)"/>
            <filter val="Проектное финансирование (КИБ)"/>
          </filters>
        </filterColumn>
      </autoFilter>
    </customSheetView>
    <customSheetView guid="{CD272C42-F380-4D5C-8F53-E28AECC6B90C}" filter="1" showAutoFilter="1">
      <autoFilter ref="$A$1:$AL$906">
        <filterColumn colId="9">
          <filters>
            <filter val="Великоборец Мария"/>
            <filter val="Филиппов Алексей"/>
            <filter val="Кондратьева Александра"/>
            <filter val="Лазаренков Никита"/>
            <filter val="Гусева Жанна"/>
            <filter val="Болдин-Илюхин Иван"/>
            <filter val="Круглов Артём"/>
            <filter val="Жовтяк Ярослав"/>
            <filter val="Савельев Иван"/>
            <filter val="Сергиенко Алексей"/>
            <filter val="Перелыгина Александра"/>
            <filter val="Цуба Виктория"/>
            <filter val="Баранова Анастасия"/>
            <filter val="Кузнецов Александр"/>
            <filter val="Рогов Юрий"/>
            <filter val="Касаткин Михаил"/>
            <filter val="Шульган Данил"/>
            <filter val="Кравченя Юлия"/>
            <filter val="Гринченко Елена"/>
            <filter val="Фрид Зинаида"/>
            <filter val="Зыкова Дарья"/>
            <filter val="Патик Елена"/>
            <filter val="Соловьева Ирина"/>
            <filter val="Лавриненко Мария"/>
            <filter val="Бакулевская Алина"/>
            <filter val="Бельтиков Адьян"/>
            <filter val="Украинцев Максим"/>
            <filter val="Волков Никита"/>
            <filter val="Алексеев Андрей"/>
            <filter val="Курненков Артём"/>
            <filter val="Гринев Тимофей"/>
            <filter val="Куликов Михаил"/>
            <filter val="Часовская Алина"/>
            <filter val="Смехнов Ярослав"/>
            <filter val="Куликовский Олег"/>
            <filter val="Романова Екатерина"/>
            <filter val="Бутков Евгений"/>
            <filter val="Иванова Аделина"/>
            <filter val="Мамедов Владислав"/>
            <filter val="Микрюкова Полина"/>
            <filter val="Ковалева Эвелина"/>
            <filter val="Молоденов Константин"/>
            <filter val="Панкратов Тихон"/>
            <filter val="Топалян Артём"/>
            <filter val="Петров Илья"/>
            <filter val="Никитин Владимир"/>
            <filter val="Веденичев Игорь"/>
            <filter val="Клинков Сергей"/>
            <filter val="Палатова Татьяна"/>
            <filter val="Лешкевич Александра"/>
            <filter val="Панова Анастасия"/>
            <filter val="Касперович Данил"/>
            <filter val="Романовская Жанна"/>
            <filter val="Ловягина Ирина"/>
            <filter val="Анисимова Дарья"/>
            <filter val="Цой Екатерина"/>
            <filter val="Пискарев Максим"/>
            <filter val="Алёшин Семён"/>
            <filter val="Захаренков Владислав"/>
            <filter val="Габдуллин Адель"/>
            <filter val="Цыбров Кирилл"/>
            <filter val="Козлов Данила"/>
            <filter val="Хамидов Дамир"/>
            <filter val="Кошелева Вера"/>
            <filter val="Пичугин Владислав"/>
            <filter val="Ткач Галина"/>
            <filter val="Аникушина Валерия"/>
            <filter val="Лолаев Георгий"/>
            <filter val="Филатов Кирилл"/>
            <filter val="Гродзь Анастасия"/>
            <filter val="Соболев Иван"/>
            <filter val="Храмович Инна"/>
            <filter val="Васильев Феодосий"/>
            <filter val="Анисимов Николай"/>
            <filter val="Жакупов Марат"/>
            <filter val="Козлова Анастасия"/>
            <filter val="Неведомая Евгения"/>
            <filter val="Шипарев Георгий"/>
            <filter val="Черкашина Анна"/>
            <filter val="Наклескин Никита"/>
            <filter val="Зобов Никита"/>
            <filter val="Афанасьев Иван"/>
            <filter val="Усова Анастасия"/>
            <filter val="Нет A"/>
            <filter val="Ефименко Алёна"/>
            <filter val="Хоменко Оксана"/>
            <filter val="Гиряев Антон"/>
            <filter val="Савина Наталья"/>
            <filter val="Коломиец Сергей"/>
            <filter val="Ципко Алина"/>
            <filter val="Прохорова Дарья"/>
            <filter val="Даровская Анастасия"/>
            <filter val="Кузьмин Руслан"/>
            <filter val="Сакульская Валерия"/>
            <filter val="Сорокина Дания"/>
            <filter val="Локтионова Екатерина"/>
            <filter val="Крашенинников Артем"/>
          </filters>
        </filterColumn>
      </autoFilter>
    </customSheetView>
    <customSheetView guid="{080F875B-B00D-4FB0-8911-7B4DC3A30C0A}" filter="1" showAutoFilter="1">
      <autoFilter ref="$A$2:$BO$37">
        <filterColumn colId="9">
          <filters>
            <filter val="Великоборец Мария"/>
            <filter val="Болотова Алина"/>
            <filter val="Романовская Жанна"/>
            <filter val="Анисимов Николай"/>
            <filter val="Бакулевская Алина"/>
            <filter val="Волков Никита"/>
            <filter val="Гусева Жанна"/>
            <filter val="Болдин-Илюхин Иван"/>
            <filter val="Габдуллин Адель"/>
            <filter val="Ефименко Алёна"/>
            <filter val="Баранова Анастасия"/>
            <filter val="Гиряев Антон"/>
            <filter val="Бутков Евгений"/>
            <filter val="Веденичев Игорь"/>
            <filter val="Гродзь Анастасия"/>
          </filters>
        </filterColumn>
      </autoFilter>
    </customSheetView>
  </customSheetViews>
  <conditionalFormatting sqref="J161:J164">
    <cfRule type="expression" dxfId="0" priority="1">
      <formula>and($G161&lt;&gt;"",J161="")</formula>
    </cfRule>
  </conditionalFormatting>
  <conditionalFormatting sqref="J29">
    <cfRule type="expression" dxfId="0" priority="2">
      <formula>and($E29&lt;&gt;"",J29="")</formula>
    </cfRule>
  </conditionalFormatting>
  <conditionalFormatting sqref="J29 J161:J164">
    <cfRule type="expression" dxfId="1" priority="3">
      <formula>countif(I:I,J29)&gt;0</formula>
    </cfRule>
  </conditionalFormatting>
  <conditionalFormatting sqref="L3:M1905">
    <cfRule type="cellIs" dxfId="0" priority="4" operator="equal">
      <formula>0</formula>
    </cfRule>
  </conditionalFormatting>
  <conditionalFormatting sqref="N5:Y5 Z5:AK6 Z11:AB11 Z14:AB14 Z21:AB22 Z32:AB32 Z49:AK49 AC52:AK53 Z58:AK58 Z68:AB68 Z79:AB79 AC81:AK81 AC101:AK101 Z112:AB112 Z140:AK140 Z148:AK148 Z154:AB154">
    <cfRule type="cellIs" dxfId="2" priority="5" operator="lessThan">
      <formula>N$1*$F5/40</formula>
    </cfRule>
  </conditionalFormatting>
  <conditionalFormatting sqref="A3:AK1905">
    <cfRule type="expression" dxfId="3" priority="6">
      <formula>$H3=""</formula>
    </cfRule>
  </conditionalFormatting>
  <conditionalFormatting sqref="N3:AK1905">
    <cfRule type="colorScale" priority="7">
      <colorScale>
        <cfvo type="min"/>
        <cfvo type="max"/>
        <color rgb="FFF3F3F3"/>
        <color rgb="FFF6B26B"/>
      </colorScale>
    </cfRule>
  </conditionalFormatting>
  <conditionalFormatting sqref="A3:J1905 K7:K1905">
    <cfRule type="containsBlanks" dxfId="0" priority="8">
      <formula>LEN(TRIM(A3))=0</formula>
    </cfRule>
  </conditionalFormatting>
  <conditionalFormatting sqref="N3:BO1905">
    <cfRule type="expression" dxfId="0" priority="9">
      <formula>sum($N3:$BO3)=0</formula>
    </cfRule>
  </conditionalFormatting>
  <dataValidations>
    <dataValidation type="decimal" operator="greaterThan" allowBlank="1" showDropDown="1" showInputMessage="1" showErrorMessage="1" prompt="Введите число больше 0, разделитель запятая" sqref="N3:BO1905">
      <formula1>0.0</formula1>
    </dataValidation>
    <dataValidation type="list" allowBlank="1" sqref="H3:H1905">
      <formula1>'Задачи'!$G:$G</formula1>
    </dataValidation>
    <dataValidation type="list" allowBlank="1" showDropDown="1" showErrorMessage="1" sqref="M2">
      <formula1>"2024,2025,2026"</formula1>
    </dataValidation>
    <dataValidation type="list" allowBlank="1" sqref="J3:J160 J165:J1905">
      <formula1>'Команда'!$G:$G</formula1>
    </dataValidation>
  </dataValidations>
  <drawing r:id="rId2"/>
  <legacyDrawing r:id="rId3"/>
</worksheet>
</file>